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azorpay Landscape" sheetId="1" state="visible" r:id="rId1"/>
    <sheet xmlns:r="http://schemas.openxmlformats.org/officeDocument/2006/relationships" name="Problem Bank" sheetId="2" state="visible" r:id="rId2"/>
    <sheet xmlns:r="http://schemas.openxmlformats.org/officeDocument/2006/relationships" name="16-Day Tracker" sheetId="3" state="visible" r:id="rId3"/>
    <sheet xmlns:r="http://schemas.openxmlformats.org/officeDocument/2006/relationships" name="Sourc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10" fillId="6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top"/>
    </xf>
    <xf numFmtId="2" fontId="11" fillId="0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center" vertical="top"/>
    </xf>
    <xf numFmtId="9" fontId="10" fillId="6" borderId="1" applyAlignment="1" pivotButton="0" quotePrefix="0" xfId="0">
      <alignment horizontal="center" vertical="top"/>
    </xf>
    <xf numFmtId="0" fontId="10" fillId="6" borderId="1" applyAlignment="1" pivotButton="0" quotePrefix="0" xfId="0">
      <alignment horizontal="general" vertical="top" wrapText="1"/>
    </xf>
    <xf numFmtId="9" fontId="4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10" fillId="6" borderId="1" applyAlignment="1" pivotButton="0" quotePrefix="0" xfId="0">
      <alignment horizontal="general" vertical="bottom"/>
    </xf>
    <xf numFmtId="9" fontId="7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10" fillId="6" borderId="1" applyAlignment="1" pivotButton="0" quotePrefix="0" xfId="0">
      <alignment horizontal="center" vertical="top"/>
    </xf>
    <xf numFmtId="2" fontId="11" fillId="0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center" vertical="top"/>
    </xf>
    <xf numFmtId="9" fontId="10" fillId="6" borderId="1" applyAlignment="1" pivotButton="0" quotePrefix="0" xfId="0">
      <alignment horizontal="center" vertical="top"/>
    </xf>
    <xf numFmtId="0" fontId="10" fillId="6" borderId="1" applyAlignment="1" pivotButton="0" quotePrefix="0" xfId="0">
      <alignment horizontal="general" vertical="top" wrapText="1"/>
    </xf>
    <xf numFmtId="9" fontId="4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3" min="1" max="1"/>
    <col width="26" customWidth="1" style="23" min="2" max="2"/>
    <col width="42" customWidth="1" style="23" min="3" max="3"/>
    <col width="24" customWidth="1" style="23" min="4" max="4"/>
    <col width="30" customWidth="1" style="23" min="5" max="5"/>
    <col width="42" customWidth="1" style="23" min="6" max="6"/>
    <col width="40" customWidth="1" style="23" min="7" max="7"/>
    <col width="34" customWidth="1" style="23" min="8" max="8"/>
    <col width="20" customWidth="1" style="23" min="9" max="9"/>
    <col width="34" customWidth="1" style="23" min="10" max="10"/>
  </cols>
  <sheetData>
    <row r="1" ht="17.35" customHeight="1" s="24">
      <c r="A1" s="25" t="inlineStr">
        <is>
          <t>Razorpay Landscape Map — products, users, money flow, pain, gaps</t>
        </is>
      </c>
    </row>
    <row r="2" ht="15" customHeight="1" s="24">
      <c r="A2" s="26" t="inlineStr">
        <is>
          <t>Seeded 2026-08-20 from primary sources (razorpay.com product pages, llms.txt inventory, Razorpay blog, Sprint 2026, AWS press release, Medianama, CERT-In/NPCI coverage). 'Pain' and 'Gap' are HYPOTHESES unless the Source column names Razorpay's own words — challenge every row.</t>
        </is>
      </c>
    </row>
    <row r="4" ht="33.75" customHeight="1" s="24">
      <c r="A4" s="27" t="inlineStr">
        <is>
          <t>#</t>
        </is>
      </c>
      <c r="B4" s="27" t="inlineStr">
        <is>
          <t>Razorpay area</t>
        </is>
      </c>
      <c r="C4" s="27" t="inlineStr">
        <is>
          <t>What exists</t>
        </is>
      </c>
      <c r="D4" s="27" t="inlineStr">
        <is>
          <t>User</t>
        </is>
      </c>
      <c r="E4" s="27" t="inlineStr">
        <is>
          <t>Money flow (who pays whom)</t>
        </is>
      </c>
      <c r="F4" s="27" t="inlineStr">
        <is>
          <t>Pain (hypothesis unless sourced)</t>
        </is>
      </c>
      <c r="G4" s="27" t="inlineStr">
        <is>
          <t>Gap</t>
        </is>
      </c>
      <c r="H4" s="27" t="inlineStr">
        <is>
          <t>Opportunity</t>
        </is>
      </c>
      <c r="I4" s="27" t="inlineStr">
        <is>
          <t>Agent Studio collision?</t>
        </is>
      </c>
      <c r="J4" s="27" t="inlineStr">
        <is>
          <t>Source / confidence</t>
        </is>
      </c>
    </row>
    <row r="5" ht="61.5" customHeight="1" s="24">
      <c r="A5" s="28" t="n">
        <v>1</v>
      </c>
      <c r="B5" s="29" t="inlineStr">
        <is>
          <t>Payment Gateway (core)</t>
        </is>
      </c>
      <c r="C5" s="29" t="inlineStr">
        <is>
          <t>Card/UPI/netbanking/wallet acceptance; 3,000+ signals per txn now routed via Vulcan</t>
        </is>
      </c>
      <c r="D5" s="29" t="inlineStr">
        <is>
          <t>Any online merchant</t>
        </is>
      </c>
      <c r="E5" s="29" t="inlineStr">
        <is>
          <t>Customer → Razorpay → merchant settlement (T+1/T+2)</t>
        </is>
      </c>
      <c r="F5" s="29" t="inlineStr">
        <is>
          <t>Failed payments; opaque decline reasons for both merchant and shopper</t>
        </is>
      </c>
      <c r="G5" s="29" t="inlineStr">
        <is>
          <t>No merchant-facing explanation of WHY a txn failed or was routed a given way — Vulcan is a black box</t>
        </is>
      </c>
      <c r="H5" s="29" t="inlineStr">
        <is>
          <t>Explainability layer over opaque routing/risk decisions</t>
        </is>
      </c>
      <c r="I5" s="30" t="inlineStr">
        <is>
          <t>No</t>
        </is>
      </c>
      <c r="J5" s="29" t="inlineStr">
        <is>
          <t>razorpay.com/foundation-model; Medianama 2026-08-18 (VERIFIED)</t>
        </is>
      </c>
    </row>
    <row r="6" ht="61.5" customHeight="1" s="24">
      <c r="A6" s="28" t="n">
        <v>2</v>
      </c>
      <c r="B6" s="29" t="inlineStr">
        <is>
          <t>Vulcan (payments foundation model)</t>
        </is>
      </c>
      <c r="C6" s="29" t="inlineStr">
        <is>
          <t>Transformer FM: 4B payments, 3T datapoints, ~3,000 signals/txn. Routing, fraud, risk, personalisation. NVIDIA GPUs + AWS SageMaker</t>
        </is>
      </c>
      <c r="D6" s="29" t="inlineStr">
        <is>
          <t>Internal; merchants indirectly</t>
        </is>
      </c>
      <c r="E6" s="29" t="inlineStr">
        <is>
          <t>N/A — decision layer over all flows</t>
        </is>
      </c>
      <c r="F6" s="29" t="inlineStr">
        <is>
          <t>No published methodology, baselines or sample period for its claimed 8-10% success-rate lift; merchants can't audit decisions made about them</t>
        </is>
      </c>
      <c r="G6" s="29" t="inlineStr">
        <is>
          <t>No consent/DPDP story for training on merchant+consumer txn data; Razorpay is a data PROCESSOR, not owner</t>
        </is>
      </c>
      <c r="H6" s="29" t="inlineStr">
        <is>
          <t>Auditability / explainability / consent-scoping for an opaque continuously-learning payments model</t>
        </is>
      </c>
      <c r="I6" s="30" t="inlineStr">
        <is>
          <t>No</t>
        </is>
      </c>
      <c r="J6" s="29" t="inlineStr">
        <is>
          <t>AWS press release 2026-08-18 (VERIFIED); DPDP gap raised by Medianama (VERIFIED reporting, unresolved by Razorpay)</t>
        </is>
      </c>
    </row>
    <row r="7" ht="61.5" customHeight="1" s="24">
      <c r="A7" s="28" t="n">
        <v>3</v>
      </c>
      <c r="B7" s="29" t="inlineStr">
        <is>
          <t>Agentic Payments (UPI Reserve Pay)</t>
        </is>
      </c>
      <c r="C7" s="29" t="inlineStr">
        <is>
          <t>'Turn every chat into a checkout'. In-app agent interprets intent, user confirms, payment completes without app redirect</t>
        </is>
      </c>
      <c r="D7" s="29" t="inlineStr">
        <is>
          <t>Consumers via merchant apps / LLM surfaces</t>
        </is>
      </c>
      <c r="E7" s="29" t="inlineStr">
        <is>
          <t>Consumer → agent-mediated → merchant</t>
        </is>
      </c>
      <c r="F7" s="29" t="inlineStr">
        <is>
          <t>Razorpay publishes NO technical spec: no authorisation model, no permission scopes, no stated limits</t>
        </is>
      </c>
      <c r="G7" s="29" t="inlineStr">
        <is>
          <t>Documented silence on the trust boundary Mathur himself named ('the agent never sees')</t>
        </is>
      </c>
      <c r="H7" s="29" t="inlineStr">
        <is>
          <t>Verifiable-intent + scoped-authorisation layer between agent and rails</t>
        </is>
      </c>
      <c r="I7" s="30" t="inlineStr">
        <is>
          <t>No</t>
        </is>
      </c>
      <c r="J7" s="29" t="inlineStr">
        <is>
          <t>razorpay.com/blog/agentic-payments... (VERIFIED absence of spec)</t>
        </is>
      </c>
    </row>
    <row r="8" ht="61.5" customHeight="1" s="24">
      <c r="A8" s="28" t="n">
        <v>4</v>
      </c>
      <c r="B8" s="29" t="inlineStr">
        <is>
          <t>Agent Studio</t>
        </is>
      </c>
      <c r="C8" s="29" t="inlineStr">
        <is>
          <t>8 shipped agents: Dispute Responder, Subscription Recovery, Abandoned Cart, Cashflow Forecaster, RTO Shield, RTO Insights, Settlement Insights. No-code builder in beta</t>
        </is>
      </c>
      <c r="D8" s="29" t="inlineStr">
        <is>
          <t>Merchant ops + finance teams</t>
        </is>
      </c>
      <c r="E8" s="29" t="inlineStr">
        <is>
          <t>Operates ON existing money flows</t>
        </is>
      </c>
      <c r="F8" s="29" t="inlineStr">
        <is>
          <t>Third-party agent ecosystem is ANNOUNCED but NOT SHIPPED</t>
        </is>
      </c>
      <c r="G8" s="29" t="inlineStr">
        <is>
          <t>No trust / permissioning / reputation / audit layer for third-party agents — because the ecosystem doesn't exist yet</t>
        </is>
      </c>
      <c r="H8" s="29" t="inlineStr">
        <is>
          <t>The governance layer that ecosystem will require on day one</t>
        </is>
      </c>
      <c r="I8" s="31" t="inlineStr">
        <is>
          <t>Partial</t>
        </is>
      </c>
      <c r="J8" s="29" t="inlineStr">
        <is>
          <t>razorpay.com/blog/agent-studio... 2026-03-12 (VERIFIED)</t>
        </is>
      </c>
    </row>
    <row r="9" ht="61.5" customHeight="1" s="24">
      <c r="A9" s="28" t="n">
        <v>5</v>
      </c>
      <c r="B9" s="29" t="inlineStr">
        <is>
          <t>Settlements &amp; Instant Settlements</t>
        </is>
      </c>
      <c r="C9" s="29" t="inlineStr">
        <is>
          <t>T+1 UPI / T+2 cards; instant settlement as paid product</t>
        </is>
      </c>
      <c r="D9" s="29" t="inlineStr">
        <is>
          <t>All merchants, esp. cash-tight D2C</t>
        </is>
      </c>
      <c r="E9" s="29" t="inlineStr">
        <is>
          <t>Razorpay escrow → merchant bank account</t>
        </is>
      </c>
      <c r="F9" s="29" t="inlineStr">
        <is>
          <t>Weekends/holidays stretch T+2 to 4-5 calendar days; unilateral indefinite holds with no reporting</t>
        </is>
      </c>
      <c r="G9" s="29" t="inlineStr">
        <is>
          <t>Merchant has no predictive view of when money actually lands, or why a hold exists</t>
        </is>
      </c>
      <c r="H9" s="29" t="inlineStr">
        <is>
          <t>Settlement-timing prediction + hold-explanation agent</t>
        </is>
      </c>
      <c r="I9" s="31" t="inlineStr">
        <is>
          <t>Partial (Settlement Insights)</t>
        </is>
      </c>
      <c r="J9" s="29" t="inlineStr">
        <is>
          <t>Razorpay's own blog 'Settlement Transparency' 2026 (VERIFIED — their words)</t>
        </is>
      </c>
    </row>
    <row r="10" ht="61.5" customHeight="1" s="24">
      <c r="A10" s="28" t="n">
        <v>6</v>
      </c>
      <c r="B10" s="29" t="inlineStr">
        <is>
          <t>Reconciliation</t>
        </is>
      </c>
      <c r="C10" s="29" t="inlineStr">
        <is>
          <t>Settlement reports, UTRs, dashboard</t>
        </is>
      </c>
      <c r="D10" s="29" t="inlineStr">
        <is>
          <t>Finance teams, CAs, ops</t>
        </is>
      </c>
      <c r="E10" s="29" t="inlineStr">
        <is>
          <t>Bank statement ↔ Razorpay report ↔ ERP</t>
        </is>
      </c>
      <c r="F10" s="29" t="inlineStr">
        <is>
          <t>'Unexplained deductions finance teams cannot trace'; net-only reporting, missing UTRs, broken txn linkage</t>
        </is>
      </c>
      <c r="G10" s="29" t="inlineStr">
        <is>
          <t>No autonomous agent that traces a deduction to its cause and produces an auditable explanation</t>
        </is>
      </c>
      <c r="H10" s="29" t="inlineStr">
        <is>
          <t>Deduction-forensics agent with verifiable trace</t>
        </is>
      </c>
      <c r="I10" s="30" t="inlineStr">
        <is>
          <t>No</t>
        </is>
      </c>
      <c r="J10" s="29" t="inlineStr">
        <is>
          <t>Razorpay 'Settlement Transparency' blog (VERIFIED — their words)</t>
        </is>
      </c>
    </row>
    <row r="11" ht="61.5" customHeight="1" s="24">
      <c r="A11" s="28" t="n">
        <v>7</v>
      </c>
      <c r="B11" s="29" t="inlineStr">
        <is>
          <t>Disputes &amp; Chargebacks</t>
        </is>
      </c>
      <c r="C11" s="29" t="inlineStr">
        <is>
          <t>Dispute guide; Dispute Responder agent auto-files evidence</t>
        </is>
      </c>
      <c r="D11" s="29" t="inlineStr">
        <is>
          <t>Merchants, risk teams</t>
        </is>
      </c>
      <c r="E11" s="29" t="inlineStr">
        <is>
          <t>Reversal: merchant → issuer → customer</t>
        </is>
      </c>
      <c r="F11" s="29" t="inlineStr">
        <is>
          <t>Evidence gathering is manual and slow; win rates vary</t>
        </is>
      </c>
      <c r="G11" s="29" t="inlineStr">
        <is>
          <t>Agent-initiated transactions have NO dispute model — 'who authorised this?' is unanswerable today</t>
        </is>
      </c>
      <c r="H11" s="29" t="inlineStr">
        <is>
          <t>Dispute resolution for agent-initiated payments</t>
        </is>
      </c>
      <c r="I11" s="32" t="inlineStr">
        <is>
          <t>Yes (human-initiated) / No (agent-initiated)</t>
        </is>
      </c>
      <c r="J11" s="29" t="inlineStr">
        <is>
          <t>Agent Studio blog (VERIFIED); CBPN 2026-06-26 on agent dispute gap (VERIFIED)</t>
        </is>
      </c>
    </row>
    <row r="12" ht="61.5" customHeight="1" s="24">
      <c r="A12" s="28" t="n">
        <v>8</v>
      </c>
      <c r="B12" s="29" t="inlineStr">
        <is>
          <t>Route (split payments)</t>
        </is>
      </c>
      <c r="C12" s="29" t="inlineStr">
        <is>
          <t>Split settlements to sub-merchants/vendors</t>
        </is>
      </c>
      <c r="D12" s="29" t="inlineStr">
        <is>
          <t>Marketplaces, platforms, aggregators</t>
        </is>
      </c>
      <c r="E12" s="29" t="inlineStr">
        <is>
          <t>Customer → platform → many sub-merchants</t>
        </is>
      </c>
      <c r="F12" s="29" t="inlineStr">
        <is>
          <t>Multi-party splits are hard to reconcile and audit; failures cascade</t>
        </is>
      </c>
      <c r="G12" s="29" t="inlineStr">
        <is>
          <t>No per-leg verification or replay when a split partially fails</t>
        </is>
      </c>
      <c r="H12" s="29" t="inlineStr">
        <is>
          <t>Multi-party settlement verification + partial-failure recovery</t>
        </is>
      </c>
      <c r="I12" s="30" t="inlineStr">
        <is>
          <t>No</t>
        </is>
      </c>
      <c r="J12" s="29" t="inlineStr">
        <is>
          <t>razorpay.com llms.txt inventory (VERIFIED product exists); pain = HYPOTHESIS</t>
        </is>
      </c>
    </row>
    <row r="13" ht="61.5" customHeight="1" s="24">
      <c r="A13" s="28" t="n">
        <v>9</v>
      </c>
      <c r="B13" s="29" t="inlineStr">
        <is>
          <t>Optimizer</t>
        </is>
      </c>
      <c r="C13" s="29" t="inlineStr">
        <is>
          <t>Multi-gateway routing with AI optimisation</t>
        </is>
      </c>
      <c r="D13" s="29" t="inlineStr">
        <is>
          <t>Large merchants running multiple PGs</t>
        </is>
      </c>
      <c r="E13" s="29" t="inlineStr">
        <is>
          <t>Merchant → chosen gateway → issuer</t>
        </is>
      </c>
      <c r="F13" s="29" t="inlineStr">
        <is>
          <t>Routing logic is opaque; merchant can't verify the routing served THEIR interest vs Razorpay's</t>
        </is>
      </c>
      <c r="G13" s="29" t="inlineStr">
        <is>
          <t>No independent audit of routing decisions</t>
        </is>
      </c>
      <c r="H13" s="29" t="inlineStr">
        <is>
          <t>Routing-decision audit / counterfactual analysis</t>
        </is>
      </c>
      <c r="I13" s="30" t="inlineStr">
        <is>
          <t>No</t>
        </is>
      </c>
      <c r="J13" s="29" t="inlineStr">
        <is>
          <t>Product page (VERIFIED exists); pain = HYPOTHESIS — must validate</t>
        </is>
      </c>
    </row>
    <row r="14" ht="61.5" customHeight="1" s="24">
      <c r="A14" s="28" t="n">
        <v>10</v>
      </c>
      <c r="B14" s="29" t="inlineStr">
        <is>
          <t>Magic Checkout</t>
        </is>
      </c>
      <c r="C14" s="29" t="inlineStr">
        <is>
          <t>1-click D2C checkout; Vulcan surfaces preferred UPI app to 40% more shoppers</t>
        </is>
      </c>
      <c r="D14" s="29" t="inlineStr">
        <is>
          <t>D2C brands + their shoppers</t>
        </is>
      </c>
      <c r="E14" s="29" t="inlineStr">
        <is>
          <t>Consumer → merchant</t>
        </is>
      </c>
      <c r="F14" s="29" t="inlineStr">
        <is>
          <t>COD abuse and RTO losses; India-wide RTO cost widely cited in the thousands of crores</t>
        </is>
      </c>
      <c r="G14" s="29" t="inlineStr">
        <is>
          <t>RTO Shield exists — space is taken</t>
        </is>
      </c>
      <c r="H14" s="29" t="inlineStr">
        <is>
          <t>Weak. Do not build here.</t>
        </is>
      </c>
      <c r="I14" s="32" t="inlineStr">
        <is>
          <t>Yes (RTO Shield, RTO Insights)</t>
        </is>
      </c>
      <c r="J14" s="29" t="inlineStr">
        <is>
          <t>Product page + AWS PR (VERIFIED); RTO ₹ figure = third-party estimate, UNVERIFIED</t>
        </is>
      </c>
    </row>
    <row r="15" ht="61.5" customHeight="1" s="24">
      <c r="A15" s="28" t="n">
        <v>11</v>
      </c>
      <c r="B15" s="29" t="inlineStr">
        <is>
          <t>Subscriptions / e-Mandate / UPI Autopay</t>
        </is>
      </c>
      <c r="C15" s="29" t="inlineStr">
        <is>
          <t>Recurring collections; RBI AFA rules apply</t>
        </is>
      </c>
      <c r="D15" s="29" t="inlineStr">
        <is>
          <t>SaaS, D2C subscription, EdTech</t>
        </is>
      </c>
      <c r="E15" s="29" t="inlineStr">
        <is>
          <t>Recurring: customer → merchant on mandate</t>
        </is>
      </c>
      <c r="F15" s="29" t="inlineStr">
        <is>
          <t>Involuntary churn from failed renewals</t>
        </is>
      </c>
      <c r="G15" s="29" t="inlineStr">
        <is>
          <t>Subscription Recovery agent exists — space is taken</t>
        </is>
      </c>
      <c r="H15" s="29" t="inlineStr">
        <is>
          <t>Weak. Do not build here.</t>
        </is>
      </c>
      <c r="I15" s="32" t="inlineStr">
        <is>
          <t>Yes (Subscription Recovery)</t>
        </is>
      </c>
      <c r="J15" s="29" t="inlineStr">
        <is>
          <t>Agent Studio blog (VERIFIED)</t>
        </is>
      </c>
    </row>
    <row r="16" ht="61.5" customHeight="1" s="24">
      <c r="A16" s="28" t="n">
        <v>12</v>
      </c>
      <c r="B16" s="29" t="inlineStr">
        <is>
          <t>RazorpayX — Current Accounts</t>
        </is>
      </c>
      <c r="C16" s="29" t="inlineStr">
        <is>
          <t>Business banking command centre, approval workflows, bulk payouts</t>
        </is>
      </c>
      <c r="D16" s="29" t="inlineStr">
        <is>
          <t>Startups, SMEs, finance teams</t>
        </is>
      </c>
      <c r="E16" s="29" t="inlineStr">
        <is>
          <t>Company account → outbound obligations</t>
        </is>
      </c>
      <c r="F16" s="29" t="inlineStr">
        <is>
          <t>Approval workflows are static rules; no risk-aware escalation</t>
        </is>
      </c>
      <c r="G16" s="29" t="inlineStr">
        <is>
          <t>No intelligent decision on WHEN a human must approve — CERT-In now effectively demands exactly this</t>
        </is>
      </c>
      <c r="H16" s="29" t="inlineStr">
        <is>
          <t>Threshold/risk-aware human-in-the-loop escalation engine</t>
        </is>
      </c>
      <c r="I16" s="31" t="inlineStr">
        <is>
          <t>Partial (Agentic Business Banking announced)</t>
        </is>
      </c>
      <c r="J16" s="29" t="inlineStr">
        <is>
          <t>razorpay.com/x (VERIFIED); CERT-In Digital Threat Report 2025-26, 2026-07-16 (VERIFIED)</t>
        </is>
      </c>
    </row>
    <row r="17" ht="61.5" customHeight="1" s="24">
      <c r="A17" s="28" t="n">
        <v>13</v>
      </c>
      <c r="B17" s="29" t="inlineStr">
        <is>
          <t>API &amp; Bulk Payouts / Payouts Pro</t>
        </is>
      </c>
      <c r="C17" s="29" t="inlineStr">
        <is>
          <t>Multi-bank router, UPI/IMPS/NEFT/RTGS, claimed 99.9% success</t>
        </is>
      </c>
      <c r="D17" s="29" t="inlineStr">
        <is>
          <t>Platforms, gig marketplaces, lenders</t>
        </is>
      </c>
      <c r="E17" s="29" t="inlineStr">
        <is>
          <t>Business → many beneficiaries</t>
        </is>
      </c>
      <c r="F17" s="29" t="inlineStr">
        <is>
          <t>Payout failures mid-batch; partial-batch states are messy to unwind</t>
        </is>
      </c>
      <c r="G17" s="29" t="inlineStr">
        <is>
          <t>No autonomous verify-and-recover loop for partially failed batches</t>
        </is>
      </c>
      <c r="H17" s="29" t="inlineStr">
        <is>
          <t>Payout failure recovery + reconciliation agent with rollback semantics</t>
        </is>
      </c>
      <c r="I17" s="30" t="inlineStr">
        <is>
          <t>No</t>
        </is>
      </c>
      <c r="J17" s="29" t="inlineStr">
        <is>
          <t>razorpay.com/x (VERIFIED exists); pain = HYPOTHESIS</t>
        </is>
      </c>
    </row>
    <row r="18" ht="61.5" customHeight="1" s="24">
      <c r="A18" s="28" t="n">
        <v>14</v>
      </c>
      <c r="B18" s="29" t="inlineStr">
        <is>
          <t>Vendor Payments / Source to Pay</t>
        </is>
      </c>
      <c r="C18" s="29" t="inlineStr">
        <is>
          <t>OCR invoice ingestion, multi-layer approvals, integrated payouts</t>
        </is>
      </c>
      <c r="D18" s="29" t="inlineStr">
        <is>
          <t>AP teams, enterprises</t>
        </is>
      </c>
      <c r="E18" s="29" t="inlineStr">
        <is>
          <t>Business → vendors</t>
        </is>
      </c>
      <c r="F18" s="29" t="inlineStr">
        <is>
          <t>Invoice fraud and duplicate payment risk; approvals are rubber-stamped at volume</t>
        </is>
      </c>
      <c r="G18" s="29" t="inlineStr">
        <is>
          <t>No verification layer that independently checks an invoice before money moves</t>
        </is>
      </c>
      <c r="H18" s="29" t="inlineStr">
        <is>
          <t>Pre-payment verification agent (duplicate/fraud/anomaly) with audit trail</t>
        </is>
      </c>
      <c r="I18" s="30" t="inlineStr">
        <is>
          <t>No</t>
        </is>
      </c>
      <c r="J18" s="29" t="inlineStr">
        <is>
          <t>razorpay.com/x (VERIFIED exists); pain = HYPOTHESIS — HIGH validation priority</t>
        </is>
      </c>
    </row>
    <row r="19" ht="61.5" customHeight="1" s="24">
      <c r="A19" s="28" t="n">
        <v>15</v>
      </c>
      <c r="B19" s="29" t="inlineStr">
        <is>
          <t>Payroll</t>
        </is>
      </c>
      <c r="C19" s="29" t="inlineStr">
        <is>
          <t>Automated payroll + TDS/PF/PT/ESIC compliance, HRMS integrations</t>
        </is>
      </c>
      <c r="D19" s="29" t="inlineStr">
        <is>
          <t>HR + finance, startups to enterprise</t>
        </is>
      </c>
      <c r="E19" s="29" t="inlineStr">
        <is>
          <t>Company → employees + statutory bodies</t>
        </is>
      </c>
      <c r="F19" s="29" t="inlineStr">
        <is>
          <t>Compliance errors are expensive and silent until a notice arrives</t>
        </is>
      </c>
      <c r="G19" s="29" t="inlineStr">
        <is>
          <t>No continuous verification that filings match what actually moved</t>
        </is>
      </c>
      <c r="H19" s="29" t="inlineStr">
        <is>
          <t>Payroll-compliance reconciliation agent</t>
        </is>
      </c>
      <c r="I19" s="31" t="inlineStr">
        <is>
          <t>Partial (AI payroll approvals in Sprint 26)</t>
        </is>
      </c>
      <c r="J19" s="29" t="inlineStr">
        <is>
          <t>razorpay.com/x + Sprint 26 (VERIFIED)</t>
        </is>
      </c>
    </row>
    <row r="20" ht="61.5" customHeight="1" s="24">
      <c r="A20" s="28" t="n">
        <v>16</v>
      </c>
      <c r="B20" s="29" t="inlineStr">
        <is>
          <t>Escrow+</t>
        </is>
      </c>
      <c r="C20" s="29" t="inlineStr">
        <is>
          <t>Compliance-heavy escrow, sub-escrows, API-driven</t>
        </is>
      </c>
      <c r="D20" s="29" t="inlineStr">
        <is>
          <t>Real estate, fintech, marketplaces</t>
        </is>
      </c>
      <c r="E20" s="29" t="inlineStr">
        <is>
          <t>Payer → escrow → conditional release</t>
        </is>
      </c>
      <c r="F20" s="29" t="inlineStr">
        <is>
          <t>'Few merchants ask which bank holds it' — escrow structure invisible to users</t>
        </is>
      </c>
      <c r="G20" s="29" t="inlineStr">
        <is>
          <t>Conditional-release logic is manual/contractual, not programmable or verifiable</t>
        </is>
      </c>
      <c r="H20" s="29" t="inlineStr">
        <is>
          <t>Programmable + auditable conditional release</t>
        </is>
      </c>
      <c r="I20" s="30" t="inlineStr">
        <is>
          <t>No</t>
        </is>
      </c>
      <c r="J20" s="29" t="inlineStr">
        <is>
          <t>razorpay.com/x + Settlement Transparency blog (VERIFIED)</t>
        </is>
      </c>
    </row>
    <row r="21" ht="61.5" customHeight="1" s="24">
      <c r="A21" s="28" t="n">
        <v>17</v>
      </c>
      <c r="B21" s="29" t="inlineStr">
        <is>
          <t>Tax Payments</t>
        </is>
      </c>
      <c r="C21" s="29" t="inlineStr">
        <is>
          <t>File and pay taxes in-platform</t>
        </is>
      </c>
      <c r="D21" s="29" t="inlineStr">
        <is>
          <t>Finance teams, CAs</t>
        </is>
      </c>
      <c r="E21" s="29" t="inlineStr">
        <is>
          <t>Business → government</t>
        </is>
      </c>
      <c r="F21" s="29" t="inlineStr">
        <is>
          <t>Deadline misses; mismatch between filed and paid</t>
        </is>
      </c>
      <c r="G21" s="29" t="inlineStr">
        <is>
          <t>No agent that verifies filing↔payment consistency</t>
        </is>
      </c>
      <c r="H21" s="29" t="inlineStr">
        <is>
          <t>Tax filing verification agent</t>
        </is>
      </c>
      <c r="I21" s="30" t="inlineStr">
        <is>
          <t>No</t>
        </is>
      </c>
      <c r="J21" s="29" t="inlineStr">
        <is>
          <t>Product page (VERIFIED exists); pain = HYPOTHESIS</t>
        </is>
      </c>
    </row>
    <row r="22" ht="61.5" customHeight="1" s="24">
      <c r="A22" s="28" t="n">
        <v>18</v>
      </c>
      <c r="B22" s="29" t="inlineStr">
        <is>
          <t>International Payments / MoneySaver</t>
        </is>
      </c>
      <c r="C22" s="29" t="inlineStr">
        <is>
          <t>180+ countries, multi-currency virtual accounts, AML screening, chargeback protection</t>
        </is>
      </c>
      <c r="D22" s="29" t="inlineStr">
        <is>
          <t>Exporters, SaaS, freelancers</t>
        </is>
      </c>
      <c r="E22" s="29" t="inlineStr">
        <is>
          <t>Foreign buyer → FX → Indian merchant</t>
        </is>
      </c>
      <c r="F22" s="29" t="inlineStr">
        <is>
          <t>'Hidden FX deductions', undisclosed correspondent bank fees, multi-day clearing</t>
        </is>
      </c>
      <c r="G22" s="29" t="inlineStr">
        <is>
          <t>Merchant cannot independently verify the FX rate/fee they actually received</t>
        </is>
      </c>
      <c r="H22" s="29" t="inlineStr">
        <is>
          <t>FX transparency + fee-forensics agent</t>
        </is>
      </c>
      <c r="I22" s="30" t="inlineStr">
        <is>
          <t>No</t>
        </is>
      </c>
      <c r="J22" s="29" t="inlineStr">
        <is>
          <t>Razorpay Settlement Transparency blog (VERIFIED — their words)</t>
        </is>
      </c>
    </row>
    <row r="23" ht="61.5" customHeight="1" s="24">
      <c r="A23" s="28" t="n">
        <v>19</v>
      </c>
      <c r="B23" s="29" t="inlineStr">
        <is>
          <t>Razorpay Capital / Line of Credit</t>
        </is>
      </c>
      <c r="C23" s="29" t="inlineStr">
        <is>
          <t>Collateral-free credit lines, digital lending stack for NBFCs</t>
        </is>
      </c>
      <c r="D23" s="29" t="inlineStr">
        <is>
          <t>SMEs, NBFC partners</t>
        </is>
      </c>
      <c r="E23" s="29" t="inlineStr">
        <is>
          <t>Lender → merchant → repayment from settlements</t>
        </is>
      </c>
      <c r="F23" s="29" t="inlineStr">
        <is>
          <t>Underwriting depends on merchant txn history quality</t>
        </is>
      </c>
      <c r="G23" s="29" t="inlineStr">
        <is>
          <t>No agent-safe framework if an AI agent triggers credit drawdown</t>
        </is>
      </c>
      <c r="H23" s="29" t="inlineStr">
        <is>
          <t>Credit actions by agents = highest-stakes unguarded surface</t>
        </is>
      </c>
      <c r="I23" s="30" t="inlineStr">
        <is>
          <t>No</t>
        </is>
      </c>
      <c r="J23" s="29" t="inlineStr">
        <is>
          <t>razorpay.com/x (VERIFIED exists); gap = HYPOTHESIS</t>
        </is>
      </c>
    </row>
    <row r="24" ht="61.5" customHeight="1" s="24">
      <c r="A24" s="28" t="n">
        <v>20</v>
      </c>
      <c r="B24" s="29" t="inlineStr">
        <is>
          <t>Corporate Cards</t>
        </is>
      </c>
      <c r="C24" s="29" t="inlineStr">
        <is>
          <t>Cashback on SaaS/marketing spend, 500+ tool discounts</t>
        </is>
      </c>
      <c r="D24" s="29" t="inlineStr">
        <is>
          <t>Startup finance teams</t>
        </is>
      </c>
      <c r="E24" s="29" t="inlineStr">
        <is>
          <t>Company card → vendors</t>
        </is>
      </c>
      <c r="F24" s="29" t="inlineStr">
        <is>
          <t>Uncontrolled SaaS spend; agents given cards is an emerging pattern</t>
        </is>
      </c>
      <c r="G24" s="29" t="inlineStr">
        <is>
          <t>No spend-scope enforcement when an AI agent holds card credentials</t>
        </is>
      </c>
      <c r="H24" s="29" t="inlineStr">
        <is>
          <t>Scoped, time-bound agent card credentials (cf. Mastercard Agentic Tokens)</t>
        </is>
      </c>
      <c r="I24" s="30" t="inlineStr">
        <is>
          <t>No</t>
        </is>
      </c>
      <c r="J24" s="29" t="inlineStr">
        <is>
          <t>razorpay.com/x (VERIFIED exists); CBPN on agentic tokens (VERIFIED)</t>
        </is>
      </c>
    </row>
    <row r="25" ht="61.5" customHeight="1" s="24">
      <c r="A25" s="28" t="n">
        <v>21</v>
      </c>
      <c r="B25" s="29" t="inlineStr">
        <is>
          <t>Developer platform</t>
        </is>
      </c>
      <c r="C25" s="29" t="inlineStr">
        <is>
          <t>APIs, webhooks, SDKs, MCP server, n8n / Replit / Vercel nodes, UPI inside OpenAI Codex</t>
        </is>
      </c>
      <c r="D25" s="29" t="inlineStr">
        <is>
          <t>Developers, AI builders</t>
        </is>
      </c>
      <c r="E25" s="29" t="inlineStr">
        <is>
          <t>N/A — integration layer</t>
        </is>
      </c>
      <c r="F25" s="29" t="inlineStr">
        <is>
          <t>Integration still described by Razorpay as a ~5-hour job pre-agentic-platform</t>
        </is>
      </c>
      <c r="G25" s="29" t="inlineStr">
        <is>
          <t>No sandbox for testing AGENT behaviour against payment rails safely</t>
        </is>
      </c>
      <c r="H25" s="29" t="inlineStr">
        <is>
          <t>Agent-payments test harness / adversarial sandbox</t>
        </is>
      </c>
      <c r="I25" s="30" t="inlineStr">
        <is>
          <t>No</t>
        </is>
      </c>
      <c r="J25" s="29" t="inlineStr">
        <is>
          <t>Sprint 26 + Agentic Platform blog (VERIFIED)</t>
        </is>
      </c>
    </row>
    <row r="26" ht="61.5" customHeight="1" s="24">
      <c r="A26" s="28" t="n">
        <v>22</v>
      </c>
      <c r="B26" s="29" t="inlineStr">
        <is>
          <t>NPCI Unified Agent Protocol (ecosystem-level)</t>
        </is>
      </c>
      <c r="C26" s="29" t="inlineStr">
        <is>
          <t>Registration, verification, authorisation of AI agents on UPI. Delegated payments with spend caps, building on UPI Circle</t>
        </is>
      </c>
      <c r="D26" s="29" t="inlineStr">
        <is>
          <t>Whole ecosystem incl. Razorpay</t>
        </is>
      </c>
      <c r="E26" s="29" t="inlineStr">
        <is>
          <t>Agent → UPI rails → merchant</t>
        </is>
      </c>
      <c r="F26" s="29" t="inlineStr">
        <is>
          <t>NOT LAUNCHED. Needs RBI approval. Industry's own open question: 'How do we control a machine going rogue?'</t>
        </is>
      </c>
      <c r="G26" s="29" t="inlineStr">
        <is>
          <t>Enforcement, verification and audit at the MERCHANT/PSP layer is unspecified and unbuilt</t>
        </is>
      </c>
      <c r="H26" s="29" t="inlineStr">
        <is>
          <t>STRONGEST WHITE SPACE — build the enforcement layer, not a competing protocol</t>
        </is>
      </c>
      <c r="I26" s="30" t="inlineStr">
        <is>
          <t>No</t>
        </is>
      </c>
      <c r="J26" s="29" t="inlineStr">
        <is>
          <t>Business Standard on NPCI UAP (VERIFIED reporting); status = pre-launch</t>
        </is>
      </c>
    </row>
    <row r="27" ht="61.5" customHeight="1" s="24">
      <c r="A27" s="28" t="n">
        <v>23</v>
      </c>
      <c r="B27" s="29" t="inlineStr">
        <is>
          <t>Regulatory surface (CERT-In / RBI / DPDP)</t>
        </is>
      </c>
      <c r="C27" s="29" t="inlineStr">
        <is>
          <t>CERT-In Digital Threat Report 2025-26 (2026-07-16); RBI AFA rules; DPDP Act</t>
        </is>
      </c>
      <c r="D27" s="29" t="inlineStr">
        <is>
          <t>Every PSP incl. Razorpay</t>
        </is>
      </c>
      <c r="E27" s="29" t="inlineStr">
        <is>
          <t>N/A — constraint layer</t>
        </is>
      </c>
      <c r="F27" s="29" t="inlineStr">
        <is>
          <t>Mandatory human-in-the-loop above financial thresholds WITH FULL AUDIT TRAILS — recommended, unspecified as to who implements</t>
        </is>
      </c>
      <c r="G27" s="29" t="inlineStr">
        <is>
          <t>Nobody has built the reference implementation of 'compliant agentic money movement'</t>
        </is>
      </c>
      <c r="H27" s="29" t="inlineStr">
        <is>
          <t>Reference implementation = instant credibility with judges AND regulators</t>
        </is>
      </c>
      <c r="I27" s="30" t="inlineStr">
        <is>
          <t>No</t>
        </is>
      </c>
      <c r="J27" s="29" t="inlineStr">
        <is>
          <t>Medianama on CERT-In report 2026-07-16 (VERIFIED)</t>
        </is>
      </c>
    </row>
    <row r="29" ht="15" customHeight="1" s="24">
      <c r="A29" s="33" t="inlineStr">
        <is>
          <t>LEGEND</t>
        </is>
      </c>
    </row>
    <row r="30" ht="15" customHeight="1" s="24">
      <c r="A30" s="26" t="inlineStr">
        <is>
          <t>Green = open space · Amber = Razorpay partially there · Red = Agent Studio already ships it (do not build here)</t>
        </is>
      </c>
    </row>
    <row r="31" ht="15" customHeight="1" s="24">
      <c r="A31" s="26" t="inlineStr">
        <is>
          <t>VERIFIED = primary source, dated. HYPOTHESIS = my inference, unproven — these are what your 5 real conversations must kill or confirm.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3" min="1" max="1"/>
    <col width="52" customWidth="1" style="23" min="2" max="2"/>
    <col width="13" customWidth="1" style="23" min="3" max="3"/>
    <col width="22" customWidth="1" style="23" min="4" max="4"/>
    <col width="38" customWidth="1" style="23" min="5" max="5"/>
    <col width="15" customWidth="1" style="23" min="6" max="6"/>
    <col width="9" customWidth="1" style="23" min="7" max="12"/>
    <col width="11" customWidth="1" style="23" min="13" max="14"/>
    <col width="44" customWidth="1" style="23" min="15" max="15"/>
    <col width="20" customWidth="1" style="24" min="16" max="16"/>
    <col width="11" customWidth="1" style="24" min="17" max="17"/>
    <col width="50" customWidth="1" style="24" min="18" max="18"/>
  </cols>
  <sheetData>
    <row r="1" ht="17.35" customHeight="1" s="24">
      <c r="A1" s="25" t="inlineStr">
        <is>
          <t>Problem Bank — 20 seeded candidates, weighted scoring</t>
        </is>
      </c>
    </row>
    <row r="2" ht="15" customHeight="1" s="24">
      <c r="A2" s="26" t="inlineStr">
        <is>
          <t>Scores below are MY assessment from the research. They are seeds to argue with, not answers. Overwrite any score you disagree with — the weighted total recalculates. Disagreeing is the point of Day 2.</t>
        </is>
      </c>
    </row>
    <row r="4" ht="15" customHeight="1" s="24">
      <c r="A4" s="33" t="inlineStr">
        <is>
          <t>WEIGHTS (edit these — yellow cells)</t>
        </is>
      </c>
    </row>
    <row r="5" ht="15" customHeight="1" s="24">
      <c r="A5" s="34" t="inlineStr">
        <is>
          <t>Strategic alignment</t>
        </is>
      </c>
      <c r="B5" s="34" t="inlineStr">
        <is>
          <t>Demoability</t>
        </is>
      </c>
      <c r="C5" s="34" t="inlineStr">
        <is>
          <t>Buildability in 16d</t>
        </is>
      </c>
      <c r="D5" s="34" t="inlineStr">
        <is>
          <t>Technical depth</t>
        </is>
      </c>
      <c r="E5" s="34" t="inlineStr">
        <is>
          <t>Profile fit (your edge)</t>
        </is>
      </c>
      <c r="F5" s="34" t="inlineStr">
        <is>
          <t>Novelty</t>
        </is>
      </c>
      <c r="G5" s="34" t="inlineStr">
        <is>
          <t>Total</t>
        </is>
      </c>
    </row>
    <row r="6" ht="15" customHeight="1" s="24">
      <c r="A6" s="35" t="n">
        <v>0.25</v>
      </c>
      <c r="B6" s="35" t="n">
        <v>0.2</v>
      </c>
      <c r="C6" s="35" t="n">
        <v>0.2</v>
      </c>
      <c r="D6" s="35" t="n">
        <v>0.15</v>
      </c>
      <c r="E6" s="35" t="n">
        <v>0.12</v>
      </c>
      <c r="F6" s="35" t="n">
        <v>0.08</v>
      </c>
      <c r="G6" s="36">
        <f>SUM(A6:F6)</f>
        <v/>
      </c>
    </row>
    <row r="7" ht="15" customHeight="1" s="24">
      <c r="A7" s="26" t="inlineStr">
        <is>
          <t>Novelty is weighted LOWEST on purpose. Judges do not hire novelty — they hire 'this would work here'. Buildability is weighted high because an unbuilt 10/10 idea scores zero.</t>
        </is>
      </c>
    </row>
    <row r="9" ht="39.75" customHeight="1" s="24">
      <c r="A9" s="27" t="inlineStr">
        <is>
          <t>#</t>
        </is>
      </c>
      <c r="B9" s="27" t="inlineStr">
        <is>
          <t>Problem statement</t>
        </is>
      </c>
      <c r="C9" s="27" t="inlineStr">
        <is>
          <t>Money-moving?</t>
        </is>
      </c>
      <c r="D9" s="27" t="inlineStr">
        <is>
          <t>User</t>
        </is>
      </c>
      <c r="E9" s="27" t="inlineStr">
        <is>
          <t>Evidence / source</t>
        </is>
      </c>
      <c r="F9" s="27" t="inlineStr">
        <is>
          <t>Razorpay already ships?</t>
        </is>
      </c>
      <c r="G9" s="27" t="inlineStr">
        <is>
          <t>Strat align</t>
        </is>
      </c>
      <c r="H9" s="27" t="inlineStr">
        <is>
          <t>Demoable</t>
        </is>
      </c>
      <c r="I9" s="27" t="inlineStr">
        <is>
          <t>Buildable</t>
        </is>
      </c>
      <c r="J9" s="27" t="inlineStr">
        <is>
          <t>Tech depth</t>
        </is>
      </c>
      <c r="K9" s="27" t="inlineStr">
        <is>
          <t>Profile fit</t>
        </is>
      </c>
      <c r="L9" s="27" t="inlineStr">
        <is>
          <t>Novelty</t>
        </is>
      </c>
      <c r="M9" s="27" t="inlineStr">
        <is>
          <t>WEIGHTED</t>
        </is>
      </c>
      <c r="N9" s="27" t="inlineStr">
        <is>
          <t>Verdict</t>
        </is>
      </c>
      <c r="O9" s="27" t="inlineStr">
        <is>
          <t>Kill reason / note</t>
        </is>
      </c>
      <c r="P9" s="37" t="inlineStr">
        <is>
          <t>Best-fit track (2026-08-21)</t>
        </is>
      </c>
      <c r="Q9" s="37" t="inlineStr">
        <is>
          <t>Track fit (1-10)</t>
        </is>
      </c>
      <c r="R9" s="37" t="inlineStr">
        <is>
          <t>Track fit flags / notes</t>
        </is>
      </c>
    </row>
    <row r="10" ht="55.5" customHeight="1" s="24">
      <c r="A10" s="29" t="n">
        <v>1</v>
      </c>
      <c r="B10" s="29" t="inlineStr">
        <is>
          <t>Prompt-injection defence for payment-taking agents: agent is hijacked mid-task and tries to move money to an attacker</t>
        </is>
      </c>
      <c r="C10" s="29" t="inlineStr">
        <is>
          <t>Yes</t>
        </is>
      </c>
      <c r="D10" s="29" t="inlineStr">
        <is>
          <t>Merchants + PSPs deploying agents</t>
        </is>
      </c>
      <c r="E10" s="29" t="inlineStr">
        <is>
          <t>CBPN 2026-06: prompt injection named as agent-specific attack vector</t>
        </is>
      </c>
      <c r="F10" s="29" t="inlineStr">
        <is>
          <t>No</t>
        </is>
      </c>
      <c r="G10" s="38" t="n">
        <v>9</v>
      </c>
      <c r="H10" s="38" t="n">
        <v>10</v>
      </c>
      <c r="I10" s="38" t="n">
        <v>8</v>
      </c>
      <c r="J10" s="38" t="n">
        <v>9</v>
      </c>
      <c r="K10" s="38" t="n">
        <v>9</v>
      </c>
      <c r="L10" s="38" t="n">
        <v>8</v>
      </c>
      <c r="M10" s="39">
        <f>G10*$A$6+H10*$B$6+I10*$C$6+J10*$D$6+K10*$E$6+L10*$F$6</f>
        <v>8.92</v>
      </c>
      <c r="N10" s="40" t="inlineStr">
        <is>
          <t>TOP 3</t>
        </is>
      </c>
      <c r="O10" s="29" t="inlineStr">
        <is>
          <t>Best demo in the bank — a visible attack, visibly caught. Narrow, buildable, on-thesis.</t>
        </is>
      </c>
      <c r="P10" s="41" t="inlineStr">
        <is>
          <t>01 - Growth &amp; Agentic Commerce</t>
        </is>
      </c>
      <c r="Q10" s="41" t="n">
        <v>10</v>
      </c>
      <c r="R10" s="41" t="inlineStr">
        <is>
          <t>Exact match for the bar: 'explainable, bounded, gated' + audit trail + 'one failure handled gracefully' IS this candidate's demo, verbatim. Track 01 has confirmed real test-mode API access, so the block can be shown on a genuine test-mode payment, not a mock. Secondary fit: Track 02 (fraud-class loss), but Track 01's bar language + API access is the stronger claim.</t>
        </is>
      </c>
    </row>
    <row r="11" ht="55.5" customHeight="1" s="24">
      <c r="A11" s="29" t="n">
        <v>2</v>
      </c>
      <c r="B11" s="29" t="inlineStr">
        <is>
          <t>Verifiable-intent layer: cryptographic proof of what the human actually authorised, surviving the hours/days gap before the agent acts</t>
        </is>
      </c>
      <c r="C11" s="29" t="inlineStr">
        <is>
          <t>Yes</t>
        </is>
      </c>
      <c r="D11" s="29" t="inlineStr">
        <is>
          <t>PSPs, merchants, agent devs</t>
        </is>
      </c>
      <c r="E11" s="29" t="inlineStr">
        <is>
          <t>CBPN 2026-06: 'no cryptographic proof of what the human principal authorized'; temporal decoupling</t>
        </is>
      </c>
      <c r="F11" s="29" t="inlineStr">
        <is>
          <t>No</t>
        </is>
      </c>
      <c r="G11" s="38" t="n">
        <v>10</v>
      </c>
      <c r="H11" s="38" t="n">
        <v>7</v>
      </c>
      <c r="I11" s="38" t="n">
        <v>6</v>
      </c>
      <c r="J11" s="38" t="n">
        <v>10</v>
      </c>
      <c r="K11" s="38" t="n">
        <v>8</v>
      </c>
      <c r="L11" s="38" t="n">
        <v>9</v>
      </c>
      <c r="M11" s="39">
        <f>G11*$A$6+H11*$B$6+I11*$C$6+J11*$D$6+K11*$E$6+L11*$F$6</f>
        <v>8.28</v>
      </c>
      <c r="N11" s="40" t="inlineStr">
        <is>
          <t>TOP 3</t>
        </is>
      </c>
      <c r="O11" s="29" t="inlineStr">
        <is>
          <t>Deepest problem here. Risk: abstract. Only viable if paired with a demo that SHOWS a violation being caught.</t>
        </is>
      </c>
      <c r="P11" s="41" t="inlineStr">
        <is>
          <t>01 (component)</t>
        </is>
      </c>
      <c r="Q11" s="41" t="n">
        <v>7</v>
      </c>
      <c r="R11" s="41" t="inlineStr">
        <is>
          <t>Not a standalone product on any track's stated deliverable. Strongest as the mechanism underneath a Track 01 submission's 'gated' claim, not the headline. Standalone entry still reads abstract, as originally flagged.</t>
        </is>
      </c>
    </row>
    <row r="12" ht="55.5" customHeight="1" s="24">
      <c r="A12" s="29" t="n">
        <v>3</v>
      </c>
      <c r="B12" s="29" t="inlineStr">
        <is>
          <t>Policy enforcement gateway between third-party agents and payment rails (scopes, spend caps, velocity, category, time bounds)</t>
        </is>
      </c>
      <c r="C12" s="29" t="inlineStr">
        <is>
          <t>Yes</t>
        </is>
      </c>
      <c r="D12" s="29" t="inlineStr">
        <is>
          <t>Platforms exposing rails to agents</t>
        </is>
      </c>
      <c r="E12" s="29" t="inlineStr">
        <is>
          <t>Agent Studio 3rd-party ecosystem announced not shipped; NPCI UAP pre-launch</t>
        </is>
      </c>
      <c r="F12" s="29" t="inlineStr">
        <is>
          <t>No</t>
        </is>
      </c>
      <c r="G12" s="38" t="n">
        <v>10</v>
      </c>
      <c r="H12" s="38" t="n">
        <v>8</v>
      </c>
      <c r="I12" s="38" t="n">
        <v>8</v>
      </c>
      <c r="J12" s="38" t="n">
        <v>8</v>
      </c>
      <c r="K12" s="38" t="n">
        <v>9</v>
      </c>
      <c r="L12" s="38" t="n">
        <v>7</v>
      </c>
      <c r="M12" s="39">
        <f>G12*$A$6+H12*$B$6+I12*$C$6+J12*$D$6+K12*$E$6+L12*$F$6</f>
        <v>8.54</v>
      </c>
      <c r="N12" s="40" t="inlineStr">
        <is>
          <t>TOP 3</t>
        </is>
      </c>
      <c r="O12" s="29" t="inlineStr">
        <is>
          <t>Directly fills the layer NPCI's protocol will require at the PSP edge. Protocol-agnostic = survives 'what if NPCI ships theirs'.</t>
        </is>
      </c>
      <c r="P12" s="41" t="inlineStr">
        <is>
          <t>01</t>
        </is>
      </c>
      <c r="Q12" s="41" t="n">
        <v>9</v>
      </c>
      <c r="R12" s="41" t="inlineStr">
        <is>
          <t>This is literally how Track 01's 'bounded and gated' becomes real -- spend caps / velocity / scope enforced on live test-mode calls. Near-ideal co-headline with #1.</t>
        </is>
      </c>
    </row>
    <row r="13" ht="55.5" customHeight="1" s="24">
      <c r="A13" s="29" t="n">
        <v>4</v>
      </c>
      <c r="B13" s="29" t="inlineStr">
        <is>
          <t>Risk-aware human-in-the-loop escalation: deciding WHEN to interrupt a human, not just a flat rupee threshold</t>
        </is>
      </c>
      <c r="C13" s="29" t="inlineStr">
        <is>
          <t>Yes</t>
        </is>
      </c>
      <c r="D13" s="29" t="inlineStr">
        <is>
          <t>Finance ops, RazorpayX users</t>
        </is>
      </c>
      <c r="E13" s="29" t="inlineStr">
        <is>
          <t>CERT-In Digital Threat Report 2025-26 (2026-07-16) mandates HITL above thresholds</t>
        </is>
      </c>
      <c r="F13" s="29" t="inlineStr">
        <is>
          <t>Partial</t>
        </is>
      </c>
      <c r="G13" s="38" t="n">
        <v>9</v>
      </c>
      <c r="H13" s="38" t="n">
        <v>8</v>
      </c>
      <c r="I13" s="38" t="n">
        <v>8</v>
      </c>
      <c r="J13" s="38" t="n">
        <v>8</v>
      </c>
      <c r="K13" s="38" t="n">
        <v>8</v>
      </c>
      <c r="L13" s="38" t="n">
        <v>8</v>
      </c>
      <c r="M13" s="39">
        <f>G13*$A$6+H13*$B$6+I13*$C$6+J13*$D$6+K13*$E$6+L13*$F$6</f>
        <v>8.25</v>
      </c>
      <c r="N13" s="40" t="inlineStr">
        <is>
          <t>STRONG</t>
        </is>
      </c>
      <c r="O13" s="29" t="inlineStr">
        <is>
          <t>Regulatory tailwind is explicit. A flat threshold is the naive answer; a learned/risk-aware one is the interesting one.</t>
        </is>
      </c>
      <c r="P13" s="41" t="inlineStr">
        <is>
          <t>01</t>
        </is>
      </c>
      <c r="Q13" s="41" t="n">
        <v>7</v>
      </c>
      <c r="R13" s="41" t="inlineStr">
        <is>
          <t>Fits Track 01's 'gated' + graceful-failure bar as the escalation trigger logic. Weaker standalone fit for Track 04 -- not reconciliation-shaped.</t>
        </is>
      </c>
    </row>
    <row r="14" ht="55.5" customHeight="1" s="24">
      <c r="A14" s="29" t="n">
        <v>5</v>
      </c>
      <c r="B14" s="29" t="inlineStr">
        <is>
          <t>Tamper-evident audit trail + deterministic replay for every agent financial action</t>
        </is>
      </c>
      <c r="C14" s="29" t="inlineStr">
        <is>
          <t>Yes</t>
        </is>
      </c>
      <c r="D14" s="29" t="inlineStr">
        <is>
          <t>Compliance, auditors, PSPs</t>
        </is>
      </c>
      <c r="E14" s="29" t="inlineStr">
        <is>
          <t>CERT-In explicitly requires 'full audit trails'</t>
        </is>
      </c>
      <c r="F14" s="29" t="inlineStr">
        <is>
          <t>No</t>
        </is>
      </c>
      <c r="G14" s="38" t="n">
        <v>9</v>
      </c>
      <c r="H14" s="38" t="n">
        <v>6</v>
      </c>
      <c r="I14" s="38" t="n">
        <v>8</v>
      </c>
      <c r="J14" s="38" t="n">
        <v>8</v>
      </c>
      <c r="K14" s="38" t="n">
        <v>9</v>
      </c>
      <c r="L14" s="38" t="n">
        <v>6</v>
      </c>
      <c r="M14" s="39">
        <f>G14*$A$6+H14*$B$6+I14*$C$6+J14*$D$6+K14*$E$6+L14*$F$6</f>
        <v>7.81</v>
      </c>
      <c r="N14" s="40" t="inlineStr">
        <is>
          <t>STRONG</t>
        </is>
      </c>
      <c r="O14" s="29" t="inlineStr">
        <is>
          <t>Necessary, unglamorous. Best as a LAYER inside a bigger project, not the headline.</t>
        </is>
      </c>
      <c r="P14" s="41" t="inlineStr">
        <is>
          <t>01</t>
        </is>
      </c>
      <c r="Q14" s="41" t="n">
        <v>8</v>
      </c>
      <c r="R14" s="41" t="inlineStr">
        <is>
          <t>Directly satisfies 'show the audit trail,' literally. Stronger as a layer than a headline, per original note -- pairs naturally with #1 / #3.</t>
        </is>
      </c>
    </row>
    <row r="15" ht="55.5" customHeight="1" s="24">
      <c r="A15" s="29" t="n">
        <v>6</v>
      </c>
      <c r="B15" s="29" t="inlineStr">
        <is>
          <t>Agent identity + reputation/trust scoring for a third-party agent marketplace</t>
        </is>
      </c>
      <c r="C15" s="29" t="inlineStr">
        <is>
          <t>Yes</t>
        </is>
      </c>
      <c r="D15" s="29" t="inlineStr">
        <is>
          <t>Razorpay Agent Studio ecosystem</t>
        </is>
      </c>
      <c r="E15" s="29" t="inlineStr">
        <is>
          <t>Agent Studio open ecosystem announced, not shipped</t>
        </is>
      </c>
      <c r="F15" s="29" t="inlineStr">
        <is>
          <t>No</t>
        </is>
      </c>
      <c r="G15" s="38" t="n">
        <v>9</v>
      </c>
      <c r="H15" s="38" t="n">
        <v>6</v>
      </c>
      <c r="I15" s="38" t="n">
        <v>7</v>
      </c>
      <c r="J15" s="38" t="n">
        <v>9</v>
      </c>
      <c r="K15" s="38" t="n">
        <v>10</v>
      </c>
      <c r="L15" s="38" t="n">
        <v>8</v>
      </c>
      <c r="M15" s="39">
        <f>G15*$A$6+H15*$B$6+I15*$C$6+J15*$D$6+K15*$E$6+L15*$F$6</f>
        <v>8.04</v>
      </c>
      <c r="N15" s="40" t="inlineStr">
        <is>
          <t>STRONG</t>
        </is>
      </c>
      <c r="O15" s="29" t="inlineStr">
        <is>
          <t>Closest thing to ASMOS's existing trust-score/reputation substrate. Risk: reads as ASMOS relabelled — must be genuinely re-derived.</t>
        </is>
      </c>
      <c r="P15" s="41" t="inlineStr">
        <is>
          <t>01 / Open</t>
        </is>
      </c>
      <c r="Q15" s="41" t="n">
        <v>6</v>
      </c>
      <c r="R15" s="41" t="inlineStr">
        <is>
          <t>Marketplace-identity framing doesn't match any track's stated deliverable directly; usable as the gating check inside Track 01 ('is this agent allowed to transact'). Standalone Open Track entry still reads as ASMOS relabelled, as originally flagged.</t>
        </is>
      </c>
    </row>
    <row r="16" ht="55.5" customHeight="1" s="24">
      <c r="A16" s="29" t="n">
        <v>7</v>
      </c>
      <c r="B16" s="29" t="inlineStr">
        <is>
          <t>Cascading failure containment in multi-agent financial workflows (agent A's bad output triggers agent B's payout)</t>
        </is>
      </c>
      <c r="C16" s="29" t="inlineStr">
        <is>
          <t>Yes</t>
        </is>
      </c>
      <c r="D16" s="29" t="inlineStr">
        <is>
          <t>Enterprises chaining agents</t>
        </is>
      </c>
      <c r="E16" s="29" t="inlineStr">
        <is>
          <t>CBPN 2026-06: 'multi-agent workflows lack adequate safeguards'</t>
        </is>
      </c>
      <c r="F16" s="29" t="inlineStr">
        <is>
          <t>No</t>
        </is>
      </c>
      <c r="G16" s="38" t="n">
        <v>8</v>
      </c>
      <c r="H16" s="38" t="n">
        <v>8</v>
      </c>
      <c r="I16" s="38" t="n">
        <v>6</v>
      </c>
      <c r="J16" s="38" t="n">
        <v>9</v>
      </c>
      <c r="K16" s="38" t="n">
        <v>10</v>
      </c>
      <c r="L16" s="38" t="n">
        <v>8</v>
      </c>
      <c r="M16" s="39">
        <f>G16*$A$6+H16*$B$6+I16*$C$6+J16*$D$6+K16*$E$6+L16*$F$6</f>
        <v>7.99</v>
      </c>
      <c r="N16" s="40" t="inlineStr">
        <is>
          <t>STRONG</t>
        </is>
      </c>
      <c r="O16" s="29" t="inlineStr">
        <is>
          <t>Squarely your multi-agent background. Harder to scope small — beware.</t>
        </is>
      </c>
      <c r="P16" s="41" t="inlineStr">
        <is>
          <t>01 / Open</t>
        </is>
      </c>
      <c r="Q16" s="41" t="n">
        <v>6</v>
      </c>
      <c r="R16" s="41" t="inlineStr">
        <is>
          <t>Track 01's 'one failure handled gracefully' rewards containing a single cascading failure, not the general multi-agent containment framework. Scope risk is unchanged from the original note.</t>
        </is>
      </c>
    </row>
    <row r="17" ht="55.5" customHeight="1" s="24">
      <c r="A17" s="29" t="n">
        <v>8</v>
      </c>
      <c r="B17" s="29" t="inlineStr">
        <is>
          <t>Pre-payment verification agent for vendor invoices (duplicate / anomaly / fraud) before money leaves</t>
        </is>
      </c>
      <c r="C17" s="29" t="inlineStr">
        <is>
          <t>Yes</t>
        </is>
      </c>
      <c r="D17" s="29" t="inlineStr">
        <is>
          <t>AP teams, enterprises</t>
        </is>
      </c>
      <c r="E17" s="29" t="inlineStr">
        <is>
          <t>Vendor Payments product exists; pain is HYPOTHESIS — validate first</t>
        </is>
      </c>
      <c r="F17" s="29" t="inlineStr">
        <is>
          <t>No</t>
        </is>
      </c>
      <c r="G17" s="38" t="n">
        <v>8</v>
      </c>
      <c r="H17" s="38" t="n">
        <v>9</v>
      </c>
      <c r="I17" s="38" t="n">
        <v>9</v>
      </c>
      <c r="J17" s="38" t="n">
        <v>6</v>
      </c>
      <c r="K17" s="38" t="n">
        <v>6</v>
      </c>
      <c r="L17" s="38" t="n">
        <v>5</v>
      </c>
      <c r="M17" s="39">
        <f>G17*$A$6+H17*$B$6+I17*$C$6+J17*$D$6+K17*$E$6+L17*$F$6</f>
        <v>7.62</v>
      </c>
      <c r="N17" s="42" t="inlineStr">
        <is>
          <t>VALIDATE</t>
        </is>
      </c>
      <c r="O17" s="29" t="inlineStr">
        <is>
          <t>Very demoable and buildable, but the pain is unvalidated. Conversation #1 should test this.</t>
        </is>
      </c>
      <c r="P17" s="41" t="inlineStr">
        <is>
          <t>02</t>
        </is>
      </c>
      <c r="Q17" s="41" t="n">
        <v>9</v>
      </c>
      <c r="R17" s="41" t="inlineStr">
        <is>
          <t>Direct fit -- 'a detector ... for one class of loss' with a natural precision/recall framing on a held-out test set is exactly Track 02's bar. Pure detection, no disqualification risk.</t>
        </is>
      </c>
    </row>
    <row r="18" ht="55.5" customHeight="1" s="24">
      <c r="A18" s="29" t="n">
        <v>9</v>
      </c>
      <c r="B18" s="29" t="inlineStr">
        <is>
          <t>Deduction forensics: trace an unexplained settlement deduction to its cause with an auditable chain</t>
        </is>
      </c>
      <c r="C18" s="29" t="inlineStr">
        <is>
          <t>Yes</t>
        </is>
      </c>
      <c r="D18" s="29" t="inlineStr">
        <is>
          <t>Finance teams, CAs</t>
        </is>
      </c>
      <c r="E18" s="29" t="inlineStr">
        <is>
          <t>Razorpay's OWN blog: 'unexplained deductions finance teams cannot trace'</t>
        </is>
      </c>
      <c r="F18" s="29" t="inlineStr">
        <is>
          <t>No</t>
        </is>
      </c>
      <c r="G18" s="38" t="n">
        <v>8</v>
      </c>
      <c r="H18" s="38" t="n">
        <v>8</v>
      </c>
      <c r="I18" s="38" t="n">
        <v>7</v>
      </c>
      <c r="J18" s="38" t="n">
        <v>6</v>
      </c>
      <c r="K18" s="38" t="n">
        <v>5</v>
      </c>
      <c r="L18" s="38" t="n">
        <v>6</v>
      </c>
      <c r="M18" s="39">
        <f>G18*$A$6+H18*$B$6+I18*$C$6+J18*$D$6+K18*$E$6+L18*$F$6</f>
        <v>6.98</v>
      </c>
      <c r="N18" s="42" t="inlineStr">
        <is>
          <t>VALIDATE</t>
        </is>
      </c>
      <c r="O18" s="29" t="inlineStr">
        <is>
          <t>Pain is in Razorpay's own words — rare. But is it AI-shaped or just a better report? Interrogate that.</t>
        </is>
      </c>
      <c r="P18" s="41" t="inlineStr">
        <is>
          <t>04</t>
        </is>
      </c>
      <c r="Q18" s="41" t="n">
        <v>9</v>
      </c>
      <c r="R18" s="41" t="inlineStr">
        <is>
          <t>Name-matches Track 04's own example direction ('Settlement Q&amp;A agent'). The single biggest score gain in this bank from learning the real tracks.</t>
        </is>
      </c>
    </row>
    <row r="19" ht="55.5" customHeight="1" s="24">
      <c r="A19" s="29" t="n">
        <v>10</v>
      </c>
      <c r="B19" s="29" t="inlineStr">
        <is>
          <t>FX transparency agent: independently verify the FX rate and correspondent fees actually applied</t>
        </is>
      </c>
      <c r="C19" s="29" t="inlineStr">
        <is>
          <t>Yes</t>
        </is>
      </c>
      <c r="D19" s="29" t="inlineStr">
        <is>
          <t>Exporters, SaaS, freelancers</t>
        </is>
      </c>
      <c r="E19" s="29" t="inlineStr">
        <is>
          <t>Razorpay's OWN blog: 'hidden FX deductions', undisclosed correspondent fees</t>
        </is>
      </c>
      <c r="F19" s="29" t="inlineStr">
        <is>
          <t>No</t>
        </is>
      </c>
      <c r="G19" s="38" t="n">
        <v>7</v>
      </c>
      <c r="H19" s="38" t="n">
        <v>8</v>
      </c>
      <c r="I19" s="38" t="n">
        <v>6</v>
      </c>
      <c r="J19" s="38" t="n">
        <v>6</v>
      </c>
      <c r="K19" s="38" t="n">
        <v>5</v>
      </c>
      <c r="L19" s="38" t="n">
        <v>7</v>
      </c>
      <c r="M19" s="39">
        <f>G19*$A$6+H19*$B$6+I19*$C$6+J19*$D$6+K19*$E$6+L19*$F$6</f>
        <v>6.61</v>
      </c>
      <c r="N19" s="42" t="inlineStr">
        <is>
          <t>VALIDATE</t>
        </is>
      </c>
      <c r="O19" s="29" t="inlineStr">
        <is>
          <t>Real named pain. Data access to verify independently is the hard part — may be impossible in 16d.</t>
        </is>
      </c>
      <c r="P19" s="41" t="inlineStr">
        <is>
          <t>04 / 02</t>
        </is>
      </c>
      <c r="Q19" s="41" t="n">
        <v>6</v>
      </c>
      <c r="R19" s="41" t="inlineStr">
        <is>
          <t>Fits Track 04 as a reconciliation/verification agent; could also read as Track 02 loss-detection (hidden fee overcharge). The data-access risk flagged originally is track-independent.</t>
        </is>
      </c>
    </row>
    <row r="20" ht="55.5" customHeight="1" s="24">
      <c r="A20" s="29" t="n">
        <v>11</v>
      </c>
      <c r="B20" s="29" t="inlineStr">
        <is>
          <t>Payout failure recovery with rollback semantics for partially-failed batches</t>
        </is>
      </c>
      <c r="C20" s="29" t="inlineStr">
        <is>
          <t>Yes</t>
        </is>
      </c>
      <c r="D20" s="29" t="inlineStr">
        <is>
          <t>Platforms, gig marketplaces</t>
        </is>
      </c>
      <c r="E20" s="29" t="inlineStr">
        <is>
          <t>Payouts Pro exists; pain = HYPOTHESIS</t>
        </is>
      </c>
      <c r="F20" s="29" t="inlineStr">
        <is>
          <t>No</t>
        </is>
      </c>
      <c r="G20" s="38" t="n">
        <v>7</v>
      </c>
      <c r="H20" s="38" t="n">
        <v>7</v>
      </c>
      <c r="I20" s="38" t="n">
        <v>7</v>
      </c>
      <c r="J20" s="38" t="n">
        <v>7</v>
      </c>
      <c r="K20" s="38" t="n">
        <v>6</v>
      </c>
      <c r="L20" s="38" t="n">
        <v>5</v>
      </c>
      <c r="M20" s="39">
        <f>G20*$A$6+H20*$B$6+I20*$C$6+J20*$D$6+K20*$E$6+L20*$F$6</f>
        <v>6.72</v>
      </c>
      <c r="N20" s="42" t="inlineStr">
        <is>
          <t>MAYBE</t>
        </is>
      </c>
      <c r="O20" s="29" t="inlineStr">
        <is>
          <t>Solid engineering problem, thin novelty, weak story.</t>
        </is>
      </c>
      <c r="P20" s="41" t="inlineStr">
        <is>
          <t>03</t>
        </is>
      </c>
      <c r="Q20" s="41" t="n">
        <v>8</v>
      </c>
      <c r="R20" s="41" t="inlineStr">
        <is>
          <t>Matches Track 03's own example direction ('Payment degradation -&gt; root cause -&gt; recovery action') closely; payouts are the outbound analogue of that flow.</t>
        </is>
      </c>
    </row>
    <row r="21" ht="55.5" customHeight="1" s="24">
      <c r="A21" s="29" t="n">
        <v>12</v>
      </c>
      <c r="B21" s="29" t="inlineStr">
        <is>
          <t>Scoped, time-bound agent card credentials (India analogue of Mastercard Agentic Tokens)</t>
        </is>
      </c>
      <c r="C21" s="29" t="inlineStr">
        <is>
          <t>Yes</t>
        </is>
      </c>
      <c r="D21" s="29" t="inlineStr">
        <is>
          <t>Startups giving agents spend access</t>
        </is>
      </c>
      <c r="E21" s="29" t="inlineStr">
        <is>
          <t>CBPN 2026-06 on Agentic Tokens; no Indian equivalent public spec</t>
        </is>
      </c>
      <c r="F21" s="29" t="inlineStr">
        <is>
          <t>No</t>
        </is>
      </c>
      <c r="G21" s="38" t="n">
        <v>8</v>
      </c>
      <c r="H21" s="38" t="n">
        <v>7</v>
      </c>
      <c r="I21" s="38" t="n">
        <v>6</v>
      </c>
      <c r="J21" s="38" t="n">
        <v>8</v>
      </c>
      <c r="K21" s="38" t="n">
        <v>7</v>
      </c>
      <c r="L21" s="38" t="n">
        <v>8</v>
      </c>
      <c r="M21" s="39">
        <f>G21*$A$6+H21*$B$6+I21*$C$6+J21*$D$6+K21*$E$6+L21*$F$6</f>
        <v>7.28</v>
      </c>
      <c r="N21" s="42" t="inlineStr">
        <is>
          <t>MAYBE</t>
        </is>
      </c>
      <c r="O21" s="29" t="inlineStr">
        <is>
          <t>Strong concept, but issuing real credentials is out of reach — you'd mock the hard part.</t>
        </is>
      </c>
      <c r="P21" s="41" t="inlineStr">
        <is>
          <t>01</t>
        </is>
      </c>
      <c r="Q21" s="41" t="n">
        <v>7</v>
      </c>
      <c r="R21" s="41" t="inlineStr">
        <is>
          <t>The credential-issuance form of #3's policy gateway -- same Track 01 fit, same 'you'd mock the hard part' limitation regardless of track.</t>
        </is>
      </c>
    </row>
    <row r="22" ht="55.5" customHeight="1" s="24">
      <c r="A22" s="29" t="n">
        <v>13</v>
      </c>
      <c r="B22" s="29" t="inlineStr">
        <is>
          <t>Dispute resolution for agent-initiated transactions — answering 'who authorised this?' after the fact</t>
        </is>
      </c>
      <c r="C22" s="29" t="inlineStr">
        <is>
          <t>Yes</t>
        </is>
      </c>
      <c r="D22" s="29" t="inlineStr">
        <is>
          <t>Merchants, issuers, consumers</t>
        </is>
      </c>
      <c r="E22" s="29" t="inlineStr">
        <is>
          <t>CBPN: agent dispute model unresolved; NPCI flags dispute mechanisms as open</t>
        </is>
      </c>
      <c r="F22" s="29" t="inlineStr">
        <is>
          <t>No</t>
        </is>
      </c>
      <c r="G22" s="38" t="n">
        <v>9</v>
      </c>
      <c r="H22" s="38" t="n">
        <v>7</v>
      </c>
      <c r="I22" s="38" t="n">
        <v>6</v>
      </c>
      <c r="J22" s="38" t="n">
        <v>8</v>
      </c>
      <c r="K22" s="38" t="n">
        <v>7</v>
      </c>
      <c r="L22" s="38" t="n">
        <v>9</v>
      </c>
      <c r="M22" s="39">
        <f>G22*$A$6+H22*$B$6+I22*$C$6+J22*$D$6+K22*$E$6+L22*$F$6</f>
        <v>7.61</v>
      </c>
      <c r="N22" s="42" t="inlineStr">
        <is>
          <t>MAYBE</t>
        </is>
      </c>
      <c r="O22" s="29" t="inlineStr">
        <is>
          <t>Genuinely unsolved. Hard to demo without first building the authorisation layer it depends on.</t>
        </is>
      </c>
      <c r="P22" s="41" t="inlineStr">
        <is>
          <t>02 (caution)</t>
        </is>
      </c>
      <c r="Q22" s="41" t="n">
        <v>5</v>
      </c>
      <c r="R22" s="41" t="inlineStr">
        <is>
          <t>Track 02 lists 'Chargeback evidence responder' as an example direction, but that's what Agent Studio's Dispute Responder already ships. This candidate's 'who authorised this agent action' framing is a genuinely different question -- differentiate hard on that, or it reads as a rebuild.</t>
        </is>
      </c>
    </row>
    <row r="23" ht="55.5" customHeight="1" s="24">
      <c r="A23" s="29" t="n">
        <v>14</v>
      </c>
      <c r="B23" s="29" t="inlineStr">
        <is>
          <t>Explainability for opaque payment risk decisions (why was this declined / routed / flagged)</t>
        </is>
      </c>
      <c r="C23" s="29" t="inlineStr">
        <is>
          <t>Partial</t>
        </is>
      </c>
      <c r="D23" s="29" t="inlineStr">
        <is>
          <t>Merchants, shoppers, risk teams</t>
        </is>
      </c>
      <c r="E23" s="29" t="inlineStr">
        <is>
          <t>Vulcan is a black box; no published methodology or baselines</t>
        </is>
      </c>
      <c r="F23" s="29" t="inlineStr">
        <is>
          <t>No</t>
        </is>
      </c>
      <c r="G23" s="38" t="n">
        <v>8</v>
      </c>
      <c r="H23" s="38" t="n">
        <v>8</v>
      </c>
      <c r="I23" s="38" t="n">
        <v>6</v>
      </c>
      <c r="J23" s="38" t="n">
        <v>8</v>
      </c>
      <c r="K23" s="38" t="n">
        <v>9</v>
      </c>
      <c r="L23" s="38" t="n">
        <v>7</v>
      </c>
      <c r="M23" s="39">
        <f>G23*$A$6+H23*$B$6+I23*$C$6+J23*$D$6+K23*$E$6+L23*$F$6</f>
        <v>7.64</v>
      </c>
      <c r="N23" s="42" t="inlineStr">
        <is>
          <t>MAYBE</t>
        </is>
      </c>
      <c r="O23" s="29" t="inlineStr">
        <is>
          <t>Plays to your explainable-AI background. Risk: reads as criticising the thing they launched two days ago. Frame carefully.</t>
        </is>
      </c>
      <c r="P23" s="41" t="inlineStr">
        <is>
          <t>02 (caution)</t>
        </is>
      </c>
      <c r="Q23" s="41" t="n">
        <v>5</v>
      </c>
      <c r="R23" s="41" t="inlineStr">
        <is>
          <t>Fits Track 02's risk domain, but the original caution stands regardless of track: reads as critiquing Vulcan, Razorpay's own launch from two days before this research.</t>
        </is>
      </c>
    </row>
    <row r="24" ht="55.5" customHeight="1" s="24">
      <c r="A24" s="29" t="n">
        <v>15</v>
      </c>
      <c r="B24" s="29" t="inlineStr">
        <is>
          <t>Agent-payments adversarial test harness / sandbox — CI for 'is my agent safe near money'</t>
        </is>
      </c>
      <c r="C24" s="29" t="inlineStr">
        <is>
          <t>Partial</t>
        </is>
      </c>
      <c r="D24" s="29" t="inlineStr">
        <is>
          <t>Developers building payment agents</t>
        </is>
      </c>
      <c r="E24" s="29" t="inlineStr">
        <is>
          <t>No such sandbox exists in Razorpay's developer surface</t>
        </is>
      </c>
      <c r="F24" s="29" t="inlineStr">
        <is>
          <t>No</t>
        </is>
      </c>
      <c r="G24" s="38" t="n">
        <v>8</v>
      </c>
      <c r="H24" s="38" t="n">
        <v>7</v>
      </c>
      <c r="I24" s="38" t="n">
        <v>8</v>
      </c>
      <c r="J24" s="38" t="n">
        <v>7</v>
      </c>
      <c r="K24" s="38" t="n">
        <v>9</v>
      </c>
      <c r="L24" s="38" t="n">
        <v>8</v>
      </c>
      <c r="M24" s="39">
        <f>G24*$A$6+H24*$B$6+I24*$C$6+J24*$D$6+K24*$E$6+L24*$F$6</f>
        <v>7.77</v>
      </c>
      <c r="N24" s="42" t="inlineStr">
        <is>
          <t>MAYBE</t>
        </is>
      </c>
      <c r="O24" s="29" t="inlineStr">
        <is>
          <t>Very much your evaluation strength. Developer-tool framing may under-sell to business judges.</t>
        </is>
      </c>
      <c r="P24" s="41" t="inlineStr">
        <is>
          <t>01 (methodology)</t>
        </is>
      </c>
      <c r="Q24" s="41" t="n">
        <v>7</v>
      </c>
      <c r="R24" s="41" t="inlineStr">
        <is>
          <t>Not a headline on any track, but this is the exact machine that produces Track 01's 'one failure handled gracefully' evidence. Likely belongs in eval/ as methodology under whichever problem is chosen, not a standalone submission.</t>
        </is>
      </c>
    </row>
    <row r="25" ht="55.5" customHeight="1" s="24">
      <c r="A25" s="29" t="n">
        <v>16</v>
      </c>
      <c r="B25" s="29" t="inlineStr">
        <is>
          <t>Merchant-side visibility into agent-driven spend ('how much did AI agents spend on my behalf, and was any wrong')</t>
        </is>
      </c>
      <c r="C25" s="29" t="inlineStr">
        <is>
          <t>Yes</t>
        </is>
      </c>
      <c r="D25" s="29" t="inlineStr">
        <is>
          <t>Merchants, CFOs</t>
        </is>
      </c>
      <c r="E25" s="29" t="inlineStr">
        <is>
          <t>Your own prior research question; no Razorpay product covers it</t>
        </is>
      </c>
      <c r="F25" s="29" t="inlineStr">
        <is>
          <t>No</t>
        </is>
      </c>
      <c r="G25" s="38" t="n">
        <v>7</v>
      </c>
      <c r="H25" s="38" t="n">
        <v>8</v>
      </c>
      <c r="I25" s="38" t="n">
        <v>8</v>
      </c>
      <c r="J25" s="38" t="n">
        <v>5</v>
      </c>
      <c r="K25" s="38" t="n">
        <v>5</v>
      </c>
      <c r="L25" s="38" t="n">
        <v>7</v>
      </c>
      <c r="M25" s="39">
        <f>G25*$A$6+H25*$B$6+I25*$C$6+J25*$D$6+K25*$E$6+L25*$F$6</f>
        <v>6.86</v>
      </c>
      <c r="N25" s="42" t="inlineStr">
        <is>
          <t>MAYBE</t>
        </is>
      </c>
      <c r="O25" s="29" t="inlineStr">
        <is>
          <t>Good dashboard, thin engineering. Would lose to a deeper project.</t>
        </is>
      </c>
      <c r="P25" s="41" t="inlineStr">
        <is>
          <t>01</t>
        </is>
      </c>
      <c r="Q25" s="41" t="n">
        <v>6</v>
      </c>
      <c r="R25" s="41" t="inlineStr">
        <is>
          <t>Fits Track 01's transparency angle; the original 'thin engineering' caution stands independent of track.</t>
        </is>
      </c>
    </row>
    <row r="26" ht="55.5" customHeight="1" s="24">
      <c r="A26" s="29" t="n">
        <v>17</v>
      </c>
      <c r="B26" s="29" t="inlineStr">
        <is>
          <t>Programmable + auditable conditional escrow release</t>
        </is>
      </c>
      <c r="C26" s="29" t="inlineStr">
        <is>
          <t>Yes</t>
        </is>
      </c>
      <c r="D26" s="29" t="inlineStr">
        <is>
          <t>Real estate, marketplaces</t>
        </is>
      </c>
      <c r="E26" s="29" t="inlineStr">
        <is>
          <t>Escrow+ exists; conditional release is manual/contractual — HYPOTHESIS</t>
        </is>
      </c>
      <c r="F26" s="29" t="inlineStr">
        <is>
          <t>No</t>
        </is>
      </c>
      <c r="G26" s="38" t="n">
        <v>6</v>
      </c>
      <c r="H26" s="38" t="n">
        <v>7</v>
      </c>
      <c r="I26" s="38" t="n">
        <v>6</v>
      </c>
      <c r="J26" s="38" t="n">
        <v>7</v>
      </c>
      <c r="K26" s="38" t="n">
        <v>5</v>
      </c>
      <c r="L26" s="38" t="n">
        <v>7</v>
      </c>
      <c r="M26" s="39">
        <f>G26*$A$6+H26*$B$6+I26*$C$6+J26*$D$6+K26*$E$6+L26*$F$6</f>
        <v>6.31</v>
      </c>
      <c r="N26" s="42" t="inlineStr">
        <is>
          <t>WEAK</t>
        </is>
      </c>
      <c r="O26" s="29" t="inlineStr">
        <is>
          <t>Interesting but far from the agentic thesis and hard to validate in 16 days.</t>
        </is>
      </c>
      <c r="P26" s="41" t="inlineStr">
        <is>
          <t>05 - Open Track</t>
        </is>
      </c>
      <c r="Q26" s="41" t="n">
        <v>5</v>
      </c>
      <c r="R26" s="41" t="inlineStr">
        <is>
          <t>No named track fits escrow directly; would run under Open Track. Original WEAK verdict stands -- track reality doesn't strengthen this one.</t>
        </is>
      </c>
    </row>
    <row r="27" ht="55.5" customHeight="1" s="24">
      <c r="A27" s="29" t="n">
        <v>18</v>
      </c>
      <c r="B27" s="29" t="inlineStr">
        <is>
          <t>Cashflow forecasting for SMBs</t>
        </is>
      </c>
      <c r="C27" s="29" t="inlineStr">
        <is>
          <t>Yes</t>
        </is>
      </c>
      <c r="D27" s="29" t="inlineStr">
        <is>
          <t>SMB finance</t>
        </is>
      </c>
      <c r="E27" s="29" t="inlineStr">
        <is>
          <t>Agent Studio ships Cashflow Forecaster</t>
        </is>
      </c>
      <c r="F27" s="32" t="inlineStr">
        <is>
          <t>YES</t>
        </is>
      </c>
      <c r="G27" s="38" t="n">
        <v>3</v>
      </c>
      <c r="H27" s="38" t="n">
        <v>6</v>
      </c>
      <c r="I27" s="38" t="n">
        <v>7</v>
      </c>
      <c r="J27" s="38" t="n">
        <v>4</v>
      </c>
      <c r="K27" s="38" t="n">
        <v>4</v>
      </c>
      <c r="L27" s="38" t="n">
        <v>2</v>
      </c>
      <c r="M27" s="39">
        <f>G27*$A$6+H27*$B$6+I27*$C$6+J27*$D$6+K27*$E$6+L27*$F$6</f>
        <v>4.59</v>
      </c>
      <c r="N27" s="43" t="inlineStr">
        <is>
          <t>KILL</t>
        </is>
      </c>
      <c r="O27" s="29" t="inlineStr">
        <is>
          <t>Razorpay already ships this. Rebuilding their agent with a nicer UI is the single most common losing move.</t>
        </is>
      </c>
      <c r="P27" s="41" t="inlineStr">
        <is>
          <t>04</t>
        </is>
      </c>
      <c r="Q27" s="41" t="n">
        <v>2</v>
      </c>
      <c r="R27" s="41" t="inlineStr">
        <is>
          <t>Track 04 lists 'Forward cash forecaster' as an example direction despite Agent Studio already shipping Cashflow Forecaster -- a real tension with the standing no-rebuild rule. Only revisit with a measurably better match rate, not a UI wrapper; otherwise KILL stands.</t>
        </is>
      </c>
    </row>
    <row r="28" ht="55.5" customHeight="1" s="24">
      <c r="A28" s="29" t="n">
        <v>19</v>
      </c>
      <c r="B28" s="29" t="inlineStr">
        <is>
          <t>RTO / COD risk prediction</t>
        </is>
      </c>
      <c r="C28" s="29" t="inlineStr">
        <is>
          <t>Yes</t>
        </is>
      </c>
      <c r="D28" s="29" t="inlineStr">
        <is>
          <t>D2C brands</t>
        </is>
      </c>
      <c r="E28" s="29" t="inlineStr">
        <is>
          <t>Agent Studio ships RTO Shield + RTO Insights</t>
        </is>
      </c>
      <c r="F28" s="32" t="inlineStr">
        <is>
          <t>YES</t>
        </is>
      </c>
      <c r="G28" s="38" t="n">
        <v>3</v>
      </c>
      <c r="H28" s="38" t="n">
        <v>7</v>
      </c>
      <c r="I28" s="38" t="n">
        <v>7</v>
      </c>
      <c r="J28" s="38" t="n">
        <v>5</v>
      </c>
      <c r="K28" s="38" t="n">
        <v>4</v>
      </c>
      <c r="L28" s="38" t="n">
        <v>2</v>
      </c>
      <c r="M28" s="39">
        <f>G28*$A$6+H28*$B$6+I28*$C$6+J28*$D$6+K28*$E$6+L28*$F$6</f>
        <v>4.94</v>
      </c>
      <c r="N28" s="43" t="inlineStr">
        <is>
          <t>KILL</t>
        </is>
      </c>
      <c r="O28" s="29" t="inlineStr">
        <is>
          <t>Already shipped. Also the most crowded idea in Indian fintech hackathons — you will not be remembered.</t>
        </is>
      </c>
      <c r="P28" s="41" t="inlineStr">
        <is>
          <t>02</t>
        </is>
      </c>
      <c r="Q28" s="41" t="n">
        <v>2</v>
      </c>
      <c r="R28" s="41" t="inlineStr">
        <is>
          <t>No track names RTO/COD directly; closest is Track 02's returns-risk scoring. Already shipped (RTO Shield/Insights) and the most crowded idea in the space -- KILL stands.</t>
        </is>
      </c>
    </row>
    <row r="29" ht="55.5" customHeight="1" s="24">
      <c r="A29" s="29" t="n">
        <v>20</v>
      </c>
      <c r="B29" s="29" t="inlineStr">
        <is>
          <t>Chargeback evidence automation</t>
        </is>
      </c>
      <c r="C29" s="29" t="inlineStr">
        <is>
          <t>Yes</t>
        </is>
      </c>
      <c r="D29" s="29" t="inlineStr">
        <is>
          <t>Merchants, risk</t>
        </is>
      </c>
      <c r="E29" s="29" t="inlineStr">
        <is>
          <t>Agent Studio ships Dispute Responder</t>
        </is>
      </c>
      <c r="F29" s="32" t="inlineStr">
        <is>
          <t>YES</t>
        </is>
      </c>
      <c r="G29" s="38" t="n">
        <v>3</v>
      </c>
      <c r="H29" s="38" t="n">
        <v>6</v>
      </c>
      <c r="I29" s="38" t="n">
        <v>7</v>
      </c>
      <c r="J29" s="38" t="n">
        <v>5</v>
      </c>
      <c r="K29" s="38" t="n">
        <v>4</v>
      </c>
      <c r="L29" s="38" t="n">
        <v>2</v>
      </c>
      <c r="M29" s="39">
        <f>G29*$A$6+H29*$B$6+I29*$C$6+J29*$D$6+K29*$E$6+L29*$F$6</f>
        <v>4.74</v>
      </c>
      <c r="N29" s="43" t="inlineStr">
        <is>
          <t>KILL</t>
        </is>
      </c>
      <c r="O29" s="29" t="inlineStr">
        <is>
          <t>Already shipped. Dead on arrival.</t>
        </is>
      </c>
      <c r="P29" s="41" t="inlineStr">
        <is>
          <t>02</t>
        </is>
      </c>
      <c r="Q29" s="41" t="n">
        <v>2</v>
      </c>
      <c r="R29" s="41" t="inlineStr">
        <is>
          <t>Same tension as #18 -- Track 02 lists 'Chargeback evidence responder' as an example direction despite Dispute Responder already shipping it. KILL stands unless differentiated well beyond what's shipped.</t>
        </is>
      </c>
    </row>
    <row r="31" ht="15" customHeight="1" s="24">
      <c r="A31" s="33" t="inlineStr">
        <is>
          <t>LEGEND</t>
        </is>
      </c>
    </row>
    <row r="32" ht="15" customHeight="1" s="24">
      <c r="A32" s="26" t="inlineStr">
        <is>
          <t>Yellow/blue cells = edit these. Score 1-10. WEIGHTED column recalculates automatically.</t>
        </is>
      </c>
    </row>
    <row r="33" ht="15" customHeight="1" s="24">
      <c r="A33" s="26" t="inlineStr">
        <is>
          <t>Red 'Razorpay already ships' = auto-kill. Do not rebuild one of Agent Studio's 8 existing agents.</t>
        </is>
      </c>
    </row>
    <row r="34" ht="15" customHeight="1" s="24">
      <c r="A34" s="26" t="inlineStr">
        <is>
          <t>Example of expected format — row 1: scores are integers 1-10, Verdict is one of TOP 3 / STRONG / VALIDATE / MAYBE / WEAK / KILL.</t>
        </is>
      </c>
    </row>
    <row r="36">
      <c r="A36" s="44" t="inlineStr">
        <is>
          <t>TRACK FIT SUMMARY -- 2026-08-21</t>
        </is>
      </c>
    </row>
    <row r="37">
      <c r="A37" s="45" t="inlineStr">
        <is>
          <t>Columns P-R score each candidate against the 5 real Buildathon tracks, discovered live on razorpay.com/buildathon/ (previously only Track 01's name was known secondhand). See docs/decisions/0001-gate-0-resolved.md. Same rule as the original 6-criteria scores: this is a seed to argue with on Day 2/3, not an answer.</t>
        </is>
      </c>
    </row>
    <row r="38">
      <c r="A38" s="45" t="inlineStr"/>
    </row>
    <row r="39">
      <c r="A39" s="44" t="inlineStr">
        <is>
          <t>Best available per track:</t>
        </is>
      </c>
    </row>
    <row r="40">
      <c r="A40" s="45" t="inlineStr">
        <is>
          <t>Track 01 - AI Growth &amp; Agentic Commerce: #1, #3, #5, #2, #12, #15 -- these converge into one coherent system (attack caught + policy gateway + audit trail) on the one track with confirmed real test-mode API access.</t>
        </is>
      </c>
    </row>
    <row r="41">
      <c r="A41" s="45" t="inlineStr">
        <is>
          <t>Track 02 - AI Risk Manager: #8 is a clean fit. #13 and #14 are viable but both sit close to something Agent Studio already ships or a live Razorpay launch -- need real differentiation.</t>
        </is>
      </c>
    </row>
    <row r="42">
      <c r="A42" s="45" t="inlineStr">
        <is>
          <t>Track 03 - AI Revenue Recovery: #11 matches a named example direction.</t>
        </is>
      </c>
    </row>
    <row r="43">
      <c r="A43" s="45" t="inlineStr">
        <is>
          <t>Track 04 - AI Finance Controller: #9 matches a named example direction and is the single biggest score gain from learning the real tracks (was VALIDATE-tier on the original 6 criteria). #10 is a weaker secondary.</t>
        </is>
      </c>
    </row>
    <row r="44">
      <c r="A44" s="45" t="inlineStr">
        <is>
          <t>Track 05 - Open Track: #6, #7, #17 -- all weaker; none clearly beats a strong Track 01/02/04 entry.</t>
        </is>
      </c>
    </row>
    <row r="45">
      <c r="A45" s="45" t="inlineStr"/>
    </row>
    <row r="46">
      <c r="A46" s="45" t="inlineStr">
        <is>
          <t>Headline read: Track 01 is the strongest overall fit for the already-highest-scored candidates (#1, #3, #2, #5), and it's the only track with confirmed sandbox access. #9 (Track 04) is the standout mover -- go check it against a real settlement-ops conversation on Day 4. This is not the Day 5 lock; the Day 3 cut and Day 4 conversations still stand.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3" min="1" max="1"/>
    <col width="13" customWidth="1" style="23" min="2" max="2"/>
    <col width="15" customWidth="1" style="23" min="3" max="3"/>
    <col width="58" customWidth="1" style="23" min="4" max="4"/>
    <col width="24" customWidth="1" style="23" min="5" max="5"/>
    <col width="11" customWidth="1" style="23" min="6" max="7"/>
    <col width="34" customWidth="1" style="23" min="8" max="8"/>
  </cols>
  <sheetData>
    <row r="1" ht="17.35" customHeight="1" s="24">
      <c r="A1" s="25" t="inlineStr">
        <is>
          <t>16-Day Tracker — Aug 20 → Sep 4 2026 (submit Sep 5)</t>
        </is>
      </c>
    </row>
    <row r="2" ht="15" customHeight="1" s="24">
      <c r="A2" s="26" t="inlineStr">
        <is>
          <t>Update 'Actual %' daily. Overall completion is weighted by each day's share of the plan. Ship deadline is Sep 4, NOT Sep 5.</t>
        </is>
      </c>
    </row>
    <row r="4" ht="31.5" customHeight="1" s="24">
      <c r="A4" s="27" t="inlineStr">
        <is>
          <t>Day</t>
        </is>
      </c>
      <c r="B4" s="27" t="inlineStr">
        <is>
          <t>Date</t>
        </is>
      </c>
      <c r="C4" s="27" t="inlineStr">
        <is>
          <t>Phase</t>
        </is>
      </c>
      <c r="D4" s="27" t="inlineStr">
        <is>
          <t>Planned output</t>
        </is>
      </c>
      <c r="E4" s="27" t="inlineStr">
        <is>
          <t>Gate</t>
        </is>
      </c>
      <c r="F4" s="27" t="inlineStr">
        <is>
          <t>Target %</t>
        </is>
      </c>
      <c r="G4" s="27" t="inlineStr">
        <is>
          <t>Actual %</t>
        </is>
      </c>
      <c r="H4" s="27" t="inlineStr">
        <is>
          <t>Status / blocker</t>
        </is>
      </c>
    </row>
    <row r="5" ht="33.75" customHeight="1" s="24">
      <c r="A5" s="29" t="n">
        <v>0</v>
      </c>
      <c r="B5" s="29" t="inlineStr">
        <is>
          <t>Thu 20 Aug</t>
        </is>
      </c>
      <c r="C5" s="29" t="inlineStr">
        <is>
          <t>GATE 0</t>
        </is>
      </c>
      <c r="D5" s="29" t="inlineStr">
        <is>
          <t>Confirm deadline, tracks, submission format, pre-built rule, API access, team size</t>
        </is>
      </c>
      <c r="E5" s="46" t="inlineStr">
        <is>
          <t>GATE 0 — BLOCKING</t>
        </is>
      </c>
      <c r="F5" s="47" t="n">
        <v>0.05</v>
      </c>
      <c r="G5" s="48" t="n">
        <v>0.05</v>
      </c>
      <c r="H5" s="49" t="n"/>
    </row>
    <row r="6" ht="33.75" customHeight="1" s="24">
      <c r="A6" s="29" t="n">
        <v>1</v>
      </c>
      <c r="B6" s="29" t="inlineStr">
        <is>
          <t>Thu 20 Aug</t>
        </is>
      </c>
      <c r="C6" s="29" t="inlineStr">
        <is>
          <t>Landscape</t>
        </is>
      </c>
      <c r="D6" s="29" t="inlineStr">
        <is>
          <t>Verify + extend the landscape map</t>
        </is>
      </c>
      <c r="E6" s="29" t="n"/>
      <c r="F6" s="47" t="n">
        <v>0.08</v>
      </c>
      <c r="G6" s="48" t="n"/>
      <c r="H6" s="49" t="n"/>
    </row>
    <row r="7" ht="33.75" customHeight="1" s="24">
      <c r="A7" s="29" t="n">
        <v>2</v>
      </c>
      <c r="B7" s="29" t="inlineStr">
        <is>
          <t>Fri 21 Aug</t>
        </is>
      </c>
      <c r="C7" s="29" t="inlineStr">
        <is>
          <t>Problem hunt</t>
        </is>
      </c>
      <c r="D7" s="29" t="inlineStr">
        <is>
          <t>Kill colliding seeds, add your own, score in one pass</t>
        </is>
      </c>
      <c r="E7" s="29" t="n"/>
      <c r="F7" s="47" t="n">
        <v>0.12</v>
      </c>
      <c r="G7" s="48" t="n"/>
      <c r="H7" s="49" t="n"/>
    </row>
    <row r="8" ht="33.75" customHeight="1" s="24">
      <c r="A8" s="29" t="n">
        <v>3</v>
      </c>
      <c r="B8" s="29" t="inlineStr">
        <is>
          <t>Sat 22 Aug</t>
        </is>
      </c>
      <c r="C8" s="29" t="inlineStr">
        <is>
          <t>Cut to 3</t>
        </is>
      </c>
      <c r="D8" s="29" t="inlineStr">
        <is>
          <t>Three one-page theses. Five outreach messages sent.</t>
        </is>
      </c>
      <c r="E8" s="46" t="inlineStr">
        <is>
          <t>GATE 1 — 3 one-pagers</t>
        </is>
      </c>
      <c r="F8" s="47" t="n">
        <v>0.15</v>
      </c>
      <c r="G8" s="48" t="n"/>
      <c r="H8" s="49" t="n"/>
    </row>
    <row r="9" ht="33.75" customHeight="1" s="24">
      <c r="A9" s="29" t="n">
        <v>4</v>
      </c>
      <c r="B9" s="29" t="inlineStr">
        <is>
          <t>Sun 23 Aug</t>
        </is>
      </c>
      <c r="C9" s="29" t="inlineStr">
        <is>
          <t>Validate</t>
        </is>
      </c>
      <c r="D9" s="29" t="inlineStr">
        <is>
          <t>3-5 real conversations with people who move money</t>
        </is>
      </c>
      <c r="E9" s="29" t="n"/>
      <c r="F9" s="47" t="n">
        <v>0.2</v>
      </c>
      <c r="G9" s="48" t="n"/>
      <c r="H9" s="49" t="n"/>
    </row>
    <row r="10" ht="33.75" customHeight="1" s="24">
      <c r="A10" s="29" t="n">
        <v>5</v>
      </c>
      <c r="B10" s="29" t="inlineStr">
        <is>
          <t>Mon 24 Aug</t>
        </is>
      </c>
      <c r="C10" s="29" t="inlineStr">
        <is>
          <t>LOCK</t>
        </is>
      </c>
      <c r="D10" s="29" t="inlineStr">
        <is>
          <t>One problem locked. Thesis + architecture + DEMO SCRIPT written before any code.</t>
        </is>
      </c>
      <c r="E10" s="46" t="inlineStr">
        <is>
          <t>GATE 2 — HARD COMMIT</t>
        </is>
      </c>
      <c r="F10" s="47" t="n">
        <v>0.25</v>
      </c>
      <c r="G10" s="48" t="n"/>
      <c r="H10" s="49" t="n"/>
    </row>
    <row r="11" ht="33.75" customHeight="1" s="24">
      <c r="A11" s="29" t="n">
        <v>6</v>
      </c>
      <c r="B11" s="29" t="inlineStr">
        <is>
          <t>Tue 25 Aug</t>
        </is>
      </c>
      <c r="C11" s="29" t="inlineStr">
        <is>
          <t>Build spine</t>
        </is>
      </c>
      <c r="D11" s="29" t="inlineStr">
        <is>
          <t>Vertical slice part 1: reason → decide → act (mocked)</t>
        </is>
      </c>
      <c r="E11" s="29" t="n"/>
      <c r="F11" s="47" t="n">
        <v>0.33</v>
      </c>
      <c r="G11" s="48" t="n"/>
      <c r="H11" s="49" t="n"/>
    </row>
    <row r="12" ht="33.75" customHeight="1" s="24">
      <c r="A12" s="29" t="n">
        <v>7</v>
      </c>
      <c r="B12" s="29" t="inlineStr">
        <is>
          <t>Wed 26 Aug</t>
        </is>
      </c>
      <c r="C12" s="29" t="inlineStr">
        <is>
          <t>Build spine</t>
        </is>
      </c>
      <c r="D12" s="29" t="inlineStr">
        <is>
          <t>Vertical slice part 2: verify → audit. It must RUN.</t>
        </is>
      </c>
      <c r="E12" s="29" t="n"/>
      <c r="F12" s="47" t="n">
        <v>0.4</v>
      </c>
      <c r="G12" s="48" t="n"/>
      <c r="H12" s="49" t="n"/>
    </row>
    <row r="13" ht="33.75" customHeight="1" s="24">
      <c r="A13" s="29" t="n">
        <v>8</v>
      </c>
      <c r="B13" s="29" t="inlineStr">
        <is>
          <t>Thu 27 Aug</t>
        </is>
      </c>
      <c r="C13" s="29" t="inlineStr">
        <is>
          <t>Safety layer</t>
        </is>
      </c>
      <c r="D13" s="29" t="inlineStr">
        <is>
          <t>Permissions, scopes, limits, velocity. Credential boundary implemented.</t>
        </is>
      </c>
      <c r="E13" s="29" t="n"/>
      <c r="F13" s="47" t="n">
        <v>0.47</v>
      </c>
      <c r="G13" s="48" t="n"/>
      <c r="H13" s="49" t="n"/>
    </row>
    <row r="14" ht="33.75" customHeight="1" s="24">
      <c r="A14" s="29" t="n">
        <v>9</v>
      </c>
      <c r="B14" s="29" t="inlineStr">
        <is>
          <t>Fri 28 Aug</t>
        </is>
      </c>
      <c r="C14" s="29" t="inlineStr">
        <is>
          <t>Verification</t>
        </is>
      </c>
      <c r="D14" s="29" t="inlineStr">
        <is>
          <t>Verification layer — go deep. This is the moat.</t>
        </is>
      </c>
      <c r="E14" s="29" t="n"/>
      <c r="F14" s="47" t="n">
        <v>0.54</v>
      </c>
      <c r="G14" s="48" t="n"/>
      <c r="H14" s="49" t="n"/>
    </row>
    <row r="15" ht="33.75" customHeight="1" s="24">
      <c r="A15" s="29" t="n">
        <v>10</v>
      </c>
      <c r="B15" s="29" t="inlineStr">
        <is>
          <t>Sat 29 Aug</t>
        </is>
      </c>
      <c r="C15" s="29" t="inlineStr">
        <is>
          <t>Audit layer</t>
        </is>
      </c>
      <c r="D15" s="29" t="inlineStr">
        <is>
          <t>Every consequential action recorded, replayable, queryable</t>
        </is>
      </c>
      <c r="E15" s="46" t="inlineStr">
        <is>
          <t>GATE 3 — loop runs e2e</t>
        </is>
      </c>
      <c r="F15" s="47" t="n">
        <v>0.6</v>
      </c>
      <c r="G15" s="48" t="n"/>
      <c r="H15" s="49" t="n"/>
    </row>
    <row r="16" ht="33.75" customHeight="1" s="24">
      <c r="A16" s="29" t="n">
        <v>11</v>
      </c>
      <c r="B16" s="29" t="inlineStr">
        <is>
          <t>Sun 30 Aug</t>
        </is>
      </c>
      <c r="C16" s="29" t="inlineStr">
        <is>
          <t>Evaluation</t>
        </is>
      </c>
      <c r="D16" s="29" t="inlineStr">
        <is>
          <t>Adversarial harness: injection, limit breach, tool failure, cascade</t>
        </is>
      </c>
      <c r="E16" s="29" t="n"/>
      <c r="F16" s="47" t="n">
        <v>0.7</v>
      </c>
      <c r="G16" s="48" t="n"/>
      <c r="H16" s="49" t="n"/>
    </row>
    <row r="17" ht="33.75" customHeight="1" s="24">
      <c r="A17" s="29" t="n">
        <v>12</v>
      </c>
      <c r="B17" s="29" t="inlineStr">
        <is>
          <t>Mon 31 Aug</t>
        </is>
      </c>
      <c r="C17" s="29" t="inlineStr">
        <is>
          <t>Evaluation</t>
        </is>
      </c>
      <c r="D17" s="29" t="inlineStr">
        <is>
          <t>Run it. Get numbers. Multi-seed where applicable.</t>
        </is>
      </c>
      <c r="E17" s="29" t="n"/>
      <c r="F17" s="47" t="n">
        <v>0.78</v>
      </c>
      <c r="G17" s="48" t="n"/>
      <c r="H17" s="49" t="n"/>
    </row>
    <row r="18" ht="33.75" customHeight="1" s="24">
      <c r="A18" s="29" t="n">
        <v>13</v>
      </c>
      <c r="B18" s="29" t="inlineStr">
        <is>
          <t>Tue 1 Sep</t>
        </is>
      </c>
      <c r="C18" s="29" t="inlineStr">
        <is>
          <t>Demo surface</t>
        </is>
      </c>
      <c r="D18" s="29" t="inlineStr">
        <is>
          <t>UI / demo surface — only now</t>
        </is>
      </c>
      <c r="E18" s="46" t="inlineStr">
        <is>
          <t>GATE 4 — you have numbers</t>
        </is>
      </c>
      <c r="F18" s="47" t="n">
        <v>0.85</v>
      </c>
      <c r="G18" s="48" t="n"/>
      <c r="H18" s="49" t="n"/>
    </row>
    <row r="19" ht="33.75" customHeight="1" s="24">
      <c r="A19" s="29" t="n">
        <v>14</v>
      </c>
      <c r="B19" s="29" t="inlineStr">
        <is>
          <t>Wed 2 Sep</t>
        </is>
      </c>
      <c r="C19" s="29" t="inlineStr">
        <is>
          <t>Demo</t>
        </is>
      </c>
      <c r="D19" s="29" t="inlineStr">
        <is>
          <t>Record demo. Many takes. 90 seconds.</t>
        </is>
      </c>
      <c r="E19" s="29" t="n"/>
      <c r="F19" s="47" t="n">
        <v>0.92</v>
      </c>
      <c r="G19" s="48" t="n"/>
      <c r="H19" s="49" t="n"/>
    </row>
    <row r="20" ht="33.75" customHeight="1" s="24">
      <c r="A20" s="29" t="n">
        <v>15</v>
      </c>
      <c r="B20" s="29" t="inlineStr">
        <is>
          <t>Thu 3 Sep</t>
        </is>
      </c>
      <c r="C20" s="29" t="inlineStr">
        <is>
          <t>Narrative</t>
        </is>
      </c>
      <c r="D20" s="29" t="inlineStr">
        <is>
          <t>Submission writeup + README a stranger can run</t>
        </is>
      </c>
      <c r="E20" s="29" t="n"/>
      <c r="F20" s="47" t="n">
        <v>0.97</v>
      </c>
      <c r="G20" s="48" t="n"/>
      <c r="H20" s="49" t="n"/>
    </row>
    <row r="21" ht="33.75" customHeight="1" s="24">
      <c r="A21" s="29" t="n">
        <v>16</v>
      </c>
      <c r="B21" s="29" t="inlineStr">
        <is>
          <t>Fri 4 Sep</t>
        </is>
      </c>
      <c r="C21" s="29" t="inlineStr">
        <is>
          <t>SHIP</t>
        </is>
      </c>
      <c r="D21" s="29" t="inlineStr">
        <is>
          <t>Buffer. Everything submittable by end of day.</t>
        </is>
      </c>
      <c r="E21" s="46" t="inlineStr">
        <is>
          <t>SHIP — real deadline</t>
        </is>
      </c>
      <c r="F21" s="47" t="n">
        <v>1</v>
      </c>
      <c r="G21" s="48" t="n"/>
      <c r="H21" s="49" t="n"/>
    </row>
    <row r="23" ht="17.35" customHeight="1" s="24">
      <c r="C23" s="33" t="inlineStr">
        <is>
          <t>OVERALL COMPLETION</t>
        </is>
      </c>
      <c r="G23" s="50">
        <f>IFERROR(MAX(G5:G21),0)</f>
        <v/>
      </c>
    </row>
    <row r="24" ht="15" customHeight="1" s="24">
      <c r="C24" s="33" t="inlineStr">
        <is>
          <t>Days logged</t>
        </is>
      </c>
      <c r="G24" s="33">
        <f>COUNT(G5:G21)</f>
        <v/>
      </c>
    </row>
    <row r="25" ht="15" customHeight="1" s="24">
      <c r="C25" s="33" t="inlineStr">
        <is>
          <t>Behind plan?</t>
        </is>
      </c>
      <c r="G25" s="33">
        <f>IF(COUNT(G5:G21)=0,"not started",IF(MAX(G5:G21)&gt;=INDEX(F5:F21,COUNT(G5:G21)),"ON TRACK","BEHIND — CUT SCOPE"))</f>
        <v/>
      </c>
    </row>
    <row r="27" ht="15" customHeight="1" s="24">
      <c r="A27" s="33" t="inlineStr">
        <is>
          <t>LEGEND</t>
        </is>
      </c>
    </row>
    <row r="28" ht="15" customHeight="1" s="24">
      <c r="A28" s="26" t="inlineStr">
        <is>
          <t>Yellow cells = fill in daily. Actual % is cumulative project completion, not that day's effort.</t>
        </is>
      </c>
    </row>
    <row r="29" ht="15" customHeight="1" s="24">
      <c r="A29" s="26" t="inlineStr">
        <is>
          <t>Example (row for Day 0) is pre-filled at 5% to show the expected format.</t>
        </is>
      </c>
    </row>
    <row r="30" ht="15" customHeight="1" s="24">
      <c r="A30" s="26" t="inlineStr">
        <is>
          <t>'BEHIND — CUT SCOPE' is an instruction, not a warning. Cut UI before cutting evaluation.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3" min="1" max="1"/>
    <col width="32" customWidth="1" style="23" min="2" max="2"/>
    <col width="13" customWidth="1" style="23" min="3" max="3"/>
    <col width="62" customWidth="1" style="23" min="4" max="4"/>
    <col width="26" customWidth="1" style="23" min="5" max="5"/>
    <col width="60" customWidth="1" style="23" min="6" max="6"/>
  </cols>
  <sheetData>
    <row r="1" ht="17.35" customHeight="1" s="24">
      <c r="A1" s="25" t="inlineStr">
        <is>
          <t>Source log — everything above traces to one of these</t>
        </is>
      </c>
    </row>
    <row r="2" ht="15" customHeight="1" s="24">
      <c r="A2" s="26" t="inlineStr">
        <is>
          <t>Confidence: VERIFIED = primary/dated. REPORTED = credible secondary. UNCONFIRMED = single weak source, treat as rumour.</t>
        </is>
      </c>
    </row>
    <row r="4" ht="30" customHeight="1" s="24">
      <c r="A4" s="27" t="inlineStr">
        <is>
          <t>#</t>
        </is>
      </c>
      <c r="B4" s="27" t="inlineStr">
        <is>
          <t>Source</t>
        </is>
      </c>
      <c r="C4" s="27" t="inlineStr">
        <is>
          <t>Date</t>
        </is>
      </c>
      <c r="D4" s="27" t="inlineStr">
        <is>
          <t>What it establishes</t>
        </is>
      </c>
      <c r="E4" s="27" t="inlineStr">
        <is>
          <t>Confidence</t>
        </is>
      </c>
      <c r="F4" s="27" t="inlineStr">
        <is>
          <t>URL</t>
        </is>
      </c>
    </row>
    <row r="5" ht="45.75" customHeight="1" s="24">
      <c r="A5" s="29" t="n">
        <v>1</v>
      </c>
      <c r="B5" s="29" t="inlineStr">
        <is>
          <t>Razorpay Buildathon page</t>
        </is>
      </c>
      <c r="C5" s="29" t="inlineStr">
        <is>
          <t>live</t>
        </is>
      </c>
      <c r="D5" s="29" t="inlineStr">
        <is>
          <t>Student-only program to hire AI Builder Interns; 'no resume screening'. Body content NOT machine-readable.</t>
        </is>
      </c>
      <c r="E5" s="30" t="inlineStr">
        <is>
          <t>VERIFIED (metadata only)</t>
        </is>
      </c>
      <c r="F5" s="29" t="inlineStr">
        <is>
          <t>https://razorpay.com/buildathon/</t>
        </is>
      </c>
    </row>
    <row r="6" ht="45.75" customHeight="1" s="24">
      <c r="A6" s="29" t="n">
        <v>2</v>
      </c>
      <c r="B6" s="29" t="inlineStr">
        <is>
          <t>X post, @ajay_2512x</t>
        </is>
      </c>
      <c r="C6" s="29" t="inlineStr">
        <is>
          <t>Aug 2026</t>
        </is>
      </c>
      <c r="D6" s="29" t="inlineStr">
        <is>
          <t>₹75k/month, 6-12 months, Bangalore, students only, closes 5 Sept, track 'AI Growth &amp; Agentic Commerce'</t>
        </is>
      </c>
      <c r="E6" s="32" t="inlineStr">
        <is>
          <t>UNCONFIRMED — single third-party post</t>
        </is>
      </c>
      <c r="F6" s="29" t="inlineStr">
        <is>
          <t>https://x.com/ajay_2512x/status/2090393869473165453</t>
        </is>
      </c>
    </row>
    <row r="7" ht="45.75" customHeight="1" s="24">
      <c r="A7" s="29" t="n">
        <v>3</v>
      </c>
      <c r="B7" s="29" t="inlineStr">
        <is>
          <t>AWS press release</t>
        </is>
      </c>
      <c r="C7" s="29" t="inlineStr">
        <is>
          <t>2026-08-18</t>
        </is>
      </c>
      <c r="D7" s="29" t="inlineStr">
        <is>
          <t>Vulcan: 4B payments, 3T datapoints, NVIDIA GPUs + AWS SageMaker, exec quotes, $350B e-comm framing</t>
        </is>
      </c>
      <c r="E7" s="30" t="inlineStr">
        <is>
          <t>VERIFIED</t>
        </is>
      </c>
      <c r="F7" s="29" t="inlineStr">
        <is>
          <t>https://press.aboutamazon.com/aws-international/2026/8/razorpay-launches-vulcan-indias-first-ai-payments-foundation-model-fueled-by-nvidia-and-aws-re-architecting-payments-for-a-350-bn-e-comm-future-by-2030</t>
        </is>
      </c>
    </row>
    <row r="8" ht="45.75" customHeight="1" s="24">
      <c r="A8" s="29" t="n">
        <v>4</v>
      </c>
      <c r="B8" s="29" t="inlineStr">
        <is>
          <t>Medianama — Vulcan</t>
        </is>
      </c>
      <c r="C8" s="29" t="inlineStr">
        <is>
          <t>2026-08-18</t>
        </is>
      </c>
      <c r="D8" s="29" t="inlineStr">
        <is>
          <t>No published methodology/baselines; DPDP consent gap; Razorpay is a data processor not owner</t>
        </is>
      </c>
      <c r="E8" s="30" t="inlineStr">
        <is>
          <t>VERIFIED reporting</t>
        </is>
      </c>
      <c r="F8" s="29" t="inlineStr">
        <is>
          <t>https://www.medianama.com/2026/08/223-razorpay-vulcan-ai-foundation-model-payments/</t>
        </is>
      </c>
    </row>
    <row r="9" ht="45.75" customHeight="1" s="24">
      <c r="A9" s="29" t="n">
        <v>5</v>
      </c>
      <c r="B9" s="29" t="inlineStr">
        <is>
          <t>Medianama — CERT-In</t>
        </is>
      </c>
      <c r="C9" s="29" t="inlineStr">
        <is>
          <t>2026-07-16</t>
        </is>
      </c>
      <c r="D9" s="29" t="inlineStr">
        <is>
          <t>Digital Threat Report 2025-26: mandatory human-in-the-loop above financial thresholds WITH FULL AUDIT TRAILS</t>
        </is>
      </c>
      <c r="E9" s="30" t="inlineStr">
        <is>
          <t>VERIFIED reporting</t>
        </is>
      </c>
      <c r="F9" s="29" t="inlineStr">
        <is>
          <t>https://www.medianama.com/2026/07/223-meity-proposes-mandatory-human-interventions-agentic-ai-payments/</t>
        </is>
      </c>
    </row>
    <row r="10" ht="45.75" customHeight="1" s="24">
      <c r="A10" s="29" t="n">
        <v>6</v>
      </c>
      <c r="B10" s="29" t="inlineStr">
        <is>
          <t>Business Standard — NPCI UAP</t>
        </is>
      </c>
      <c r="C10" s="29" t="inlineStr">
        <is>
          <t>2026-07</t>
        </is>
      </c>
      <c r="D10" s="29" t="inlineStr">
        <is>
          <t>Unified Agent Protocol: agent registration/verification/authorisation on UPI. Pre-launch, needs RBI nod. 'How do we control a machine going rogue?'</t>
        </is>
      </c>
      <c r="E10" s="30" t="inlineStr">
        <is>
          <t>VERIFIED reporting</t>
        </is>
      </c>
      <c r="F10" s="29" t="inlineStr">
        <is>
          <t>https://www.business-standard.com/finance/news/india-may-allow-agentic-ai-led-upi-transactions-under-new-npci-protocol-126070801343_1.html</t>
        </is>
      </c>
    </row>
    <row r="11" ht="45.75" customHeight="1" s="24">
      <c r="A11" s="29" t="n">
        <v>7</v>
      </c>
      <c r="B11" s="29" t="inlineStr">
        <is>
          <t>Central Bank Payments News</t>
        </is>
      </c>
      <c r="C11" s="29" t="inlineStr">
        <is>
          <t>2026-06-26</t>
        </is>
      </c>
      <c r="D11" s="29" t="inlineStr">
        <is>
          <t>No cryptographic proof of principal authorisation; temporal decoupling; prompt injection, intent drift, hijacking, cascading failure; Mastercard Agentic Tokens + Verifiable Intent</t>
        </is>
      </c>
      <c r="E11" s="30" t="inlineStr">
        <is>
          <t>VERIFIED</t>
        </is>
      </c>
      <c r="F11" s="29" t="inlineStr">
        <is>
          <t>https://cbpn.currencyresearch.com/blog/2026/06/26/who-authorized-this-identity-delegation-and-security-in-agentic-payments</t>
        </is>
      </c>
    </row>
    <row r="12" ht="45.75" customHeight="1" s="24">
      <c r="A12" s="29" t="n">
        <v>8</v>
      </c>
      <c r="B12" s="29" t="inlineStr">
        <is>
          <t>Razorpay — Agent Studio blog</t>
        </is>
      </c>
      <c r="C12" s="29" t="inlineStr">
        <is>
          <t>2026-03-12</t>
        </is>
      </c>
      <c r="D12" s="29" t="inlineStr">
        <is>
          <t>8 shipped agents; no-code builder in beta; third-party ecosystem PLANNED not shipped; built on Claude Agent SDK</t>
        </is>
      </c>
      <c r="E12" s="30" t="inlineStr">
        <is>
          <t>VERIFIED</t>
        </is>
      </c>
      <c r="F12" s="29" t="inlineStr">
        <is>
          <t>https://razorpay.com/blog/agent-studio-ai-agents-by-razorpay/</t>
        </is>
      </c>
    </row>
    <row r="13" ht="45.75" customHeight="1" s="24">
      <c r="A13" s="29" t="n">
        <v>9</v>
      </c>
      <c r="B13" s="29" t="inlineStr">
        <is>
          <t>Razorpay — Agentic Platform blog</t>
        </is>
      </c>
      <c r="C13" s="29" t="inlineStr">
        <is>
          <t>2026-03-12</t>
        </is>
      </c>
      <c r="D13" s="29" t="inlineStr">
        <is>
          <t>RazorSense design system; named merchant pains: multi-day onboarding, 5-hour integration, manual reconciliation</t>
        </is>
      </c>
      <c r="E13" s="30" t="inlineStr">
        <is>
          <t>VERIFIED</t>
        </is>
      </c>
      <c r="F13" s="29" t="inlineStr">
        <is>
          <t>https://razorpay.com/blog/razorpay-agentic-platform/</t>
        </is>
      </c>
    </row>
    <row r="14" ht="45.75" customHeight="1" s="24">
      <c r="A14" s="29" t="n">
        <v>10</v>
      </c>
      <c r="B14" s="29" t="inlineStr">
        <is>
          <t>Razorpay Sprint 2026</t>
        </is>
      </c>
      <c r="C14" s="29" t="inlineStr">
        <is>
          <t>2026</t>
        </is>
      </c>
      <c r="D14" s="29" t="inlineStr">
        <is>
          <t>'The Age of Agentic Payments'; 100+ launches; four pillars incl. RazorpayX autonomous finance</t>
        </is>
      </c>
      <c r="E14" s="30" t="inlineStr">
        <is>
          <t>VERIFIED</t>
        </is>
      </c>
      <c r="F14" s="29" t="inlineStr">
        <is>
          <t>https://razorpay.com/sprint/26</t>
        </is>
      </c>
    </row>
    <row r="15" ht="45.75" customHeight="1" s="24">
      <c r="A15" s="29" t="n">
        <v>11</v>
      </c>
      <c r="B15" s="29" t="inlineStr">
        <is>
          <t>Razorpay — Settlement Transparency blog</t>
        </is>
      </c>
      <c r="C15" s="29" t="inlineStr">
        <is>
          <t>2026</t>
        </is>
      </c>
      <c r="D15" s="29" t="inlineStr">
        <is>
          <t>Razorpay's OWN words on merchant pain: unexplained deductions, missing UTRs, indefinite holds, hidden FX deductions</t>
        </is>
      </c>
      <c r="E15" s="30" t="inlineStr">
        <is>
          <t>VERIFIED</t>
        </is>
      </c>
      <c r="F15" s="29" t="inlineStr">
        <is>
          <t>https://razorpay.com/blog/settlement-transparency-the-complete-merchant-playbook-for-questioning-your-payment-gateway-in-2026</t>
        </is>
      </c>
    </row>
    <row r="16" ht="45.75" customHeight="1" s="24">
      <c r="A16" s="29" t="n">
        <v>12</v>
      </c>
      <c r="B16" s="29" t="inlineStr">
        <is>
          <t>Razorpay llms.txt</t>
        </is>
      </c>
      <c r="C16" s="29" t="inlineStr">
        <is>
          <t>live</t>
        </is>
      </c>
      <c r="D16" s="29" t="inlineStr">
        <is>
          <t>Full 93-item product/page inventory used to build the landscape map</t>
        </is>
      </c>
      <c r="E16" s="30" t="inlineStr">
        <is>
          <t>VERIFIED</t>
        </is>
      </c>
      <c r="F16" s="29" t="inlineStr">
        <is>
          <t>https://razorpay.com/llms.txt</t>
        </is>
      </c>
    </row>
    <row r="17" ht="45.75" customHeight="1" s="24">
      <c r="A17" s="29" t="n">
        <v>13</v>
      </c>
      <c r="B17" s="29" t="inlineStr">
        <is>
          <t>Razorpay — Agentic Payments blog</t>
        </is>
      </c>
      <c r="C17" s="29" t="inlineStr">
        <is>
          <t>2026</t>
        </is>
      </c>
      <c r="D17" s="29" t="inlineStr">
        <is>
          <t>UPI Reserve Pay named; NO technical spec for authorisation model, scopes, or limits</t>
        </is>
      </c>
      <c r="E17" s="30" t="inlineStr">
        <is>
          <t>VERIFIED (absence)</t>
        </is>
      </c>
      <c r="F17" s="29" t="inlineStr">
        <is>
          <t>https://razorpay.com/blog/agentic-payments-the-future-of-in-app-commerce/</t>
        </is>
      </c>
    </row>
    <row r="18" ht="45.75" customHeight="1" s="24">
      <c r="A18" s="29" t="n">
        <v>14</v>
      </c>
      <c r="B18" s="29" t="inlineStr">
        <is>
          <t>Greenhouse — AI Builder req</t>
        </is>
      </c>
      <c r="C18" s="29" t="inlineStr">
        <is>
          <t>live</t>
        </is>
      </c>
      <c r="D18" s="29" t="inlineStr">
        <is>
          <t>Role shape: chief-of-staff, first-principles problem decomposition, 'discovery to demo in under two weeks', multi-agent + RAG, Claude Code/Cursor</t>
        </is>
      </c>
      <c r="E18" s="30" t="inlineStr">
        <is>
          <t>VERIFIED</t>
        </is>
      </c>
      <c r="F18" s="29" t="inlineStr">
        <is>
          <t>https://job-boards.greenhouse.io/razorpaysoftwareprivatelimited/jobs/4713785005</t>
        </is>
      </c>
    </row>
    <row r="19" ht="45.75" customHeight="1" s="24">
      <c r="A19" s="29" t="n">
        <v>15</v>
      </c>
      <c r="B19" s="29" t="inlineStr">
        <is>
          <t>Solo.io MCP hackathon winners</t>
        </is>
      </c>
      <c r="C19" s="29" t="inlineStr">
        <is>
          <t>2026</t>
        </is>
      </c>
      <c r="D19" s="29" t="inlineStr">
        <is>
          <t>Winners were narrow + operational; two of them were about CONSTRAINING agents, not extending them</t>
        </is>
      </c>
      <c r="E19" s="30" t="inlineStr">
        <is>
          <t>VERIFIED</t>
        </is>
      </c>
      <c r="F19" s="29" t="inlineStr">
        <is>
          <t>https://www.solo.io/blog/celebrating-the-winners-of-the-2026-hackathon-for-mcp-ai-agents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2026-08-20T20:38:35Z</dcterms:created>
  <dcterms:modified xmlns:dcterms="http://purl.org/dc/terms/" xmlns:xsi="http://www.w3.org/2001/XMLSchema-instance" xsi:type="dcterms:W3CDTF">2026-08-21T15:51:19Z</dcterms:modified>
  <cp:revision>0</cp:revision>
</cp:coreProperties>
</file>