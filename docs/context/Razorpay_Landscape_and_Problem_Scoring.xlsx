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zorpay Landscape" sheetId="1" state="visible" r:id="rId3"/>
    <sheet name="Problem Bank" sheetId="2" state="visible" r:id="rId4"/>
    <sheet name="16-Day Tracker" sheetId="3" state="visible" r:id="rId5"/>
    <sheet name="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<sst xmlns="http://schemas.openxmlformats.org/spreadsheetml/2006/main" count="549" uniqueCount="451">
  <si>
    <t xml:space="preserve">Razorpay Landscape Map — products, users, money flow, pain, gaps</t>
  </si>
  <si>
    <t xml:space="preserve">Seeded 2026-08-20 from primary sources (razorpay.com product pages, llms.txt inventory, Razorpay blog, Sprint 2026, AWS press release, Medianama, CERT-In/NPCI coverage). 'Pain' and 'Gap' are HYPOTHESES unless the Source column names Razorpay's own words — challenge every row.</t>
  </si>
  <si>
    <t xml:space="preserve">#</t>
  </si>
  <si>
    <t xml:space="preserve">Razorpay area</t>
  </si>
  <si>
    <t xml:space="preserve">What exists</t>
  </si>
  <si>
    <t xml:space="preserve">User</t>
  </si>
  <si>
    <t xml:space="preserve">Money flow (who pays whom)</t>
  </si>
  <si>
    <t xml:space="preserve">Pain (hypothesis unless sourced)</t>
  </si>
  <si>
    <t xml:space="preserve">Gap</t>
  </si>
  <si>
    <t xml:space="preserve">Opportunity</t>
  </si>
  <si>
    <t xml:space="preserve">Agent Studio collision?</t>
  </si>
  <si>
    <t xml:space="preserve">Source / confidence</t>
  </si>
  <si>
    <t xml:space="preserve">Payment Gateway (core)</t>
  </si>
  <si>
    <t xml:space="preserve">Card/UPI/netbanking/wallet acceptance; 3,000+ signals per txn now routed via Vulcan</t>
  </si>
  <si>
    <t xml:space="preserve">Any online merchant</t>
  </si>
  <si>
    <t xml:space="preserve">Customer → Razorpay → merchant settlement (T+1/T+2)</t>
  </si>
  <si>
    <t xml:space="preserve">Failed payments; opaque decline reasons for both merchant and shopper</t>
  </si>
  <si>
    <t xml:space="preserve">No merchant-facing explanation of WHY a txn failed or was routed a given way — Vulcan is a black box</t>
  </si>
  <si>
    <t xml:space="preserve">Explainability layer over opaque routing/risk decisions</t>
  </si>
  <si>
    <t xml:space="preserve">No</t>
  </si>
  <si>
    <t xml:space="preserve">razorpay.com/foundation-model; Medianama 2026-08-18 (VERIFIED)</t>
  </si>
  <si>
    <t xml:space="preserve">Vulcan (payments foundation model)</t>
  </si>
  <si>
    <t xml:space="preserve">Transformer FM: 4B payments, 3T datapoints, ~3,000 signals/txn. Routing, fraud, risk, personalisation. NVIDIA GPUs + AWS SageMaker</t>
  </si>
  <si>
    <t xml:space="preserve">Internal; merchants indirectly</t>
  </si>
  <si>
    <t xml:space="preserve">N/A — decision layer over all flows</t>
  </si>
  <si>
    <t xml:space="preserve">No published methodology, baselines or sample period for its claimed 8-10% success-rate lift; merchants can't audit decisions made about them</t>
  </si>
  <si>
    <t xml:space="preserve">No consent/DPDP story for training on merchant+consumer txn data; Razorpay is a data PROCESSOR, not owner</t>
  </si>
  <si>
    <t xml:space="preserve">Auditability / explainability / consent-scoping for an opaque continuously-learning payments model</t>
  </si>
  <si>
    <t xml:space="preserve">AWS press release 2026-08-18 (VERIFIED); DPDP gap raised by Medianama (VERIFIED reporting, unresolved by Razorpay)</t>
  </si>
  <si>
    <t xml:space="preserve">Agentic Payments (UPI Reserve Pay)</t>
  </si>
  <si>
    <t xml:space="preserve">'Turn every chat into a checkout'. In-app agent interprets intent, user confirms, payment completes without app redirect</t>
  </si>
  <si>
    <t xml:space="preserve">Consumers via merchant apps / LLM surfaces</t>
  </si>
  <si>
    <t xml:space="preserve">Consumer → agent-mediated → merchant</t>
  </si>
  <si>
    <t xml:space="preserve">Razorpay publishes NO technical spec: no authorisation model, no permission scopes, no stated limits</t>
  </si>
  <si>
    <t xml:space="preserve">Documented silence on the trust boundary Mathur himself named ('the agent never sees')</t>
  </si>
  <si>
    <t xml:space="preserve">Verifiable-intent + scoped-authorisation layer between agent and rails</t>
  </si>
  <si>
    <t xml:space="preserve">razorpay.com/blog/agentic-payments... (VERIFIED absence of spec)</t>
  </si>
  <si>
    <t xml:space="preserve">Agent Studio</t>
  </si>
  <si>
    <t xml:space="preserve">8 shipped agents: Dispute Responder, Subscription Recovery, Abandoned Cart, Cashflow Forecaster, RTO Shield, RTO Insights, Settlement Insights. No-code builder in beta</t>
  </si>
  <si>
    <t xml:space="preserve">Merchant ops + finance teams</t>
  </si>
  <si>
    <t xml:space="preserve">Operates ON existing money flows</t>
  </si>
  <si>
    <t xml:space="preserve">Third-party agent ecosystem is ANNOUNCED but NOT SHIPPED</t>
  </si>
  <si>
    <t xml:space="preserve">No trust / permissioning / reputation / audit layer for third-party agents — because the ecosystem doesn't exist yet</t>
  </si>
  <si>
    <t xml:space="preserve">The governance layer that ecosystem will require on day one</t>
  </si>
  <si>
    <t xml:space="preserve">Partial</t>
  </si>
  <si>
    <t xml:space="preserve">razorpay.com/blog/agent-studio... 2026-03-12 (VERIFIED)</t>
  </si>
  <si>
    <t xml:space="preserve">Settlements &amp; Instant Settlements</t>
  </si>
  <si>
    <t xml:space="preserve">T+1 UPI / T+2 cards; instant settlement as paid product</t>
  </si>
  <si>
    <t xml:space="preserve">All merchants, esp. cash-tight D2C</t>
  </si>
  <si>
    <t xml:space="preserve">Razorpay escrow → merchant bank account</t>
  </si>
  <si>
    <t xml:space="preserve">Weekends/holidays stretch T+2 to 4-5 calendar days; unilateral indefinite holds with no reporting</t>
  </si>
  <si>
    <t xml:space="preserve">Merchant has no predictive view of when money actually lands, or why a hold exists</t>
  </si>
  <si>
    <t xml:space="preserve">Settlement-timing prediction + hold-explanation agent</t>
  </si>
  <si>
    <t xml:space="preserve">Partial (Settlement Insights)</t>
  </si>
  <si>
    <t xml:space="preserve">Razorpay's own blog 'Settlement Transparency' 2026 (VERIFIED — their words)</t>
  </si>
  <si>
    <t xml:space="preserve">Reconciliation</t>
  </si>
  <si>
    <t xml:space="preserve">Settlement reports, UTRs, dashboard</t>
  </si>
  <si>
    <t xml:space="preserve">Finance teams, CAs, ops</t>
  </si>
  <si>
    <t xml:space="preserve">Bank statement ↔ Razorpay report ↔ ERP</t>
  </si>
  <si>
    <t xml:space="preserve">'Unexplained deductions finance teams cannot trace'; net-only reporting, missing UTRs, broken txn linkage</t>
  </si>
  <si>
    <t xml:space="preserve">No autonomous agent that traces a deduction to its cause and produces an auditable explanation</t>
  </si>
  <si>
    <t xml:space="preserve">Deduction-forensics agent with verifiable trace</t>
  </si>
  <si>
    <t xml:space="preserve">Razorpay 'Settlement Transparency' blog (VERIFIED — their words)</t>
  </si>
  <si>
    <t xml:space="preserve">Disputes &amp; Chargebacks</t>
  </si>
  <si>
    <t xml:space="preserve">Dispute guide; Dispute Responder agent auto-files evidence</t>
  </si>
  <si>
    <t xml:space="preserve">Merchants, risk teams</t>
  </si>
  <si>
    <t xml:space="preserve">Reversal: merchant → issuer → customer</t>
  </si>
  <si>
    <t xml:space="preserve">Evidence gathering is manual and slow; win rates vary</t>
  </si>
  <si>
    <t xml:space="preserve">Agent-initiated transactions have NO dispute model — 'who authorised this?' is unanswerable today</t>
  </si>
  <si>
    <t xml:space="preserve">Dispute resolution for agent-initiated payments</t>
  </si>
  <si>
    <t xml:space="preserve">Yes (human-initiated) / No (agent-initiated)</t>
  </si>
  <si>
    <t xml:space="preserve">Agent Studio blog (VERIFIED); CBPN 2026-06-26 on agent dispute gap (VERIFIED)</t>
  </si>
  <si>
    <t xml:space="preserve">Route (split payments)</t>
  </si>
  <si>
    <t xml:space="preserve">Split settlements to sub-merchants/vendors</t>
  </si>
  <si>
    <t xml:space="preserve">Marketplaces, platforms, aggregators</t>
  </si>
  <si>
    <t xml:space="preserve">Customer → platform → many sub-merchants</t>
  </si>
  <si>
    <t xml:space="preserve">Multi-party splits are hard to reconcile and audit; failures cascade</t>
  </si>
  <si>
    <t xml:space="preserve">No per-leg verification or replay when a split partially fails</t>
  </si>
  <si>
    <t xml:space="preserve">Multi-party settlement verification + partial-failure recovery</t>
  </si>
  <si>
    <t xml:space="preserve">razorpay.com llms.txt inventory (VERIFIED product exists); pain = HYPOTHESIS</t>
  </si>
  <si>
    <t xml:space="preserve">Optimizer</t>
  </si>
  <si>
    <t xml:space="preserve">Multi-gateway routing with AI optimisation</t>
  </si>
  <si>
    <t xml:space="preserve">Large merchants running multiple PGs</t>
  </si>
  <si>
    <t xml:space="preserve">Merchant → chosen gateway → issuer</t>
  </si>
  <si>
    <t xml:space="preserve">Routing logic is opaque; merchant can't verify the routing served THEIR interest vs Razorpay's</t>
  </si>
  <si>
    <t xml:space="preserve">No independent audit of routing decisions</t>
  </si>
  <si>
    <t xml:space="preserve">Routing-decision audit / counterfactual analysis</t>
  </si>
  <si>
    <t xml:space="preserve">Product page (VERIFIED exists); pain = HYPOTHESIS — must validate</t>
  </si>
  <si>
    <t xml:space="preserve">Magic Checkout</t>
  </si>
  <si>
    <t xml:space="preserve">1-click D2C checkout; Vulcan surfaces preferred UPI app to 40% more shoppers</t>
  </si>
  <si>
    <t xml:space="preserve">D2C brands + their shoppers</t>
  </si>
  <si>
    <t xml:space="preserve">Consumer → merchant</t>
  </si>
  <si>
    <t xml:space="preserve">COD abuse and RTO losses; India-wide RTO cost widely cited in the thousands of crores</t>
  </si>
  <si>
    <t xml:space="preserve">RTO Shield exists — space is taken</t>
  </si>
  <si>
    <t xml:space="preserve">Weak. Do not build here.</t>
  </si>
  <si>
    <t xml:space="preserve">Yes (RTO Shield, RTO Insights)</t>
  </si>
  <si>
    <t xml:space="preserve">Product page + AWS PR (VERIFIED); RTO ₹ figure = third-party estimate, UNVERIFIED</t>
  </si>
  <si>
    <t xml:space="preserve">Subscriptions / e-Mandate / UPI Autopay</t>
  </si>
  <si>
    <t xml:space="preserve">Recurring collections; RBI AFA rules apply</t>
  </si>
  <si>
    <t xml:space="preserve">SaaS, D2C subscription, EdTech</t>
  </si>
  <si>
    <t xml:space="preserve">Recurring: customer → merchant on mandate</t>
  </si>
  <si>
    <t xml:space="preserve">Involuntary churn from failed renewals</t>
  </si>
  <si>
    <t xml:space="preserve">Subscription Recovery agent exists — space is taken</t>
  </si>
  <si>
    <t xml:space="preserve">Yes (Subscription Recovery)</t>
  </si>
  <si>
    <t xml:space="preserve">Agent Studio blog (VERIFIED)</t>
  </si>
  <si>
    <t xml:space="preserve">RazorpayX — Current Accounts</t>
  </si>
  <si>
    <t xml:space="preserve">Business banking command centre, approval workflows, bulk payouts</t>
  </si>
  <si>
    <t xml:space="preserve">Startups, SMEs, finance teams</t>
  </si>
  <si>
    <t xml:space="preserve">Company account → outbound obligations</t>
  </si>
  <si>
    <t xml:space="preserve">Approval workflows are static rules; no risk-aware escalation</t>
  </si>
  <si>
    <t xml:space="preserve">No intelligent decision on WHEN a human must approve — CERT-In now effectively demands exactly this</t>
  </si>
  <si>
    <t xml:space="preserve">Threshold/risk-aware human-in-the-loop escalation engine</t>
  </si>
  <si>
    <t xml:space="preserve">Partial (Agentic Business Banking announced)</t>
  </si>
  <si>
    <t xml:space="preserve">razorpay.com/x (VERIFIED); CERT-In Digital Threat Report 2025-26, 2026-07-16 (VERIFIED)</t>
  </si>
  <si>
    <t xml:space="preserve">API &amp; Bulk Payouts / Payouts Pro</t>
  </si>
  <si>
    <t xml:space="preserve">Multi-bank router, UPI/IMPS/NEFT/RTGS, claimed 99.9% success</t>
  </si>
  <si>
    <t xml:space="preserve">Platforms, gig marketplaces, lenders</t>
  </si>
  <si>
    <t xml:space="preserve">Business → many beneficiaries</t>
  </si>
  <si>
    <t xml:space="preserve">Payout failures mid-batch; partial-batch states are messy to unwind</t>
  </si>
  <si>
    <t xml:space="preserve">No autonomous verify-and-recover loop for partially failed batches</t>
  </si>
  <si>
    <t xml:space="preserve">Payout failure recovery + reconciliation agent with rollback semantics</t>
  </si>
  <si>
    <t xml:space="preserve">razorpay.com/x (VERIFIED exists); pain = HYPOTHESIS</t>
  </si>
  <si>
    <t xml:space="preserve">Vendor Payments / Source to Pay</t>
  </si>
  <si>
    <t xml:space="preserve">OCR invoice ingestion, multi-layer approvals, integrated payouts</t>
  </si>
  <si>
    <t xml:space="preserve">AP teams, enterprises</t>
  </si>
  <si>
    <t xml:space="preserve">Business → vendors</t>
  </si>
  <si>
    <t xml:space="preserve">Invoice fraud and duplicate payment risk; approvals are rubber-stamped at volume</t>
  </si>
  <si>
    <t xml:space="preserve">No verification layer that independently checks an invoice before money moves</t>
  </si>
  <si>
    <t xml:space="preserve">Pre-payment verification agent (duplicate/fraud/anomaly) with audit trail</t>
  </si>
  <si>
    <t xml:space="preserve">razorpay.com/x (VERIFIED exists); pain = HYPOTHESIS — HIGH validation priority</t>
  </si>
  <si>
    <t xml:space="preserve">Payroll</t>
  </si>
  <si>
    <t xml:space="preserve">Automated payroll + TDS/PF/PT/ESIC compliance, HRMS integrations</t>
  </si>
  <si>
    <t xml:space="preserve">HR + finance, startups to enterprise</t>
  </si>
  <si>
    <t xml:space="preserve">Company → employees + statutory bodies</t>
  </si>
  <si>
    <t xml:space="preserve">Compliance errors are expensive and silent until a notice arrives</t>
  </si>
  <si>
    <t xml:space="preserve">No continuous verification that filings match what actually moved</t>
  </si>
  <si>
    <t xml:space="preserve">Payroll-compliance reconciliation agent</t>
  </si>
  <si>
    <t xml:space="preserve">Partial (AI payroll approvals in Sprint 26)</t>
  </si>
  <si>
    <t xml:space="preserve">razorpay.com/x + Sprint 26 (VERIFIED)</t>
  </si>
  <si>
    <t xml:space="preserve">Escrow+</t>
  </si>
  <si>
    <t xml:space="preserve">Compliance-heavy escrow, sub-escrows, API-driven</t>
  </si>
  <si>
    <t xml:space="preserve">Real estate, fintech, marketplaces</t>
  </si>
  <si>
    <t xml:space="preserve">Payer → escrow → conditional release</t>
  </si>
  <si>
    <t xml:space="preserve">'Few merchants ask which bank holds it' — escrow structure invisible to users</t>
  </si>
  <si>
    <t xml:space="preserve">Conditional-release logic is manual/contractual, not programmable or verifiable</t>
  </si>
  <si>
    <t xml:space="preserve">Programmable + auditable conditional release</t>
  </si>
  <si>
    <t xml:space="preserve">razorpay.com/x + Settlement Transparency blog (VERIFIED)</t>
  </si>
  <si>
    <t xml:space="preserve">Tax Payments</t>
  </si>
  <si>
    <t xml:space="preserve">File and pay taxes in-platform</t>
  </si>
  <si>
    <t xml:space="preserve">Finance teams, CAs</t>
  </si>
  <si>
    <t xml:space="preserve">Business → government</t>
  </si>
  <si>
    <t xml:space="preserve">Deadline misses; mismatch between filed and paid</t>
  </si>
  <si>
    <t xml:space="preserve">No agent that verifies filing↔payment consistency</t>
  </si>
  <si>
    <t xml:space="preserve">Tax filing verification agent</t>
  </si>
  <si>
    <t xml:space="preserve">Product page (VERIFIED exists); pain = HYPOTHESIS</t>
  </si>
  <si>
    <t xml:space="preserve">International Payments / MoneySaver</t>
  </si>
  <si>
    <t xml:space="preserve">180+ countries, multi-currency virtual accounts, AML screening, chargeback protection</t>
  </si>
  <si>
    <t xml:space="preserve">Exporters, SaaS, freelancers</t>
  </si>
  <si>
    <t xml:space="preserve">Foreign buyer → FX → Indian merchant</t>
  </si>
  <si>
    <t xml:space="preserve">'Hidden FX deductions', undisclosed correspondent bank fees, multi-day clearing</t>
  </si>
  <si>
    <t xml:space="preserve">Merchant cannot independently verify the FX rate/fee they actually received</t>
  </si>
  <si>
    <t xml:space="preserve">FX transparency + fee-forensics agent</t>
  </si>
  <si>
    <t xml:space="preserve">Razorpay Settlement Transparency blog (VERIFIED — their words)</t>
  </si>
  <si>
    <t xml:space="preserve">Razorpay Capital / Line of Credit</t>
  </si>
  <si>
    <t xml:space="preserve">Collateral-free credit lines, digital lending stack for NBFCs</t>
  </si>
  <si>
    <t xml:space="preserve">SMEs, NBFC partners</t>
  </si>
  <si>
    <t xml:space="preserve">Lender → merchant → repayment from settlements</t>
  </si>
  <si>
    <t xml:space="preserve">Underwriting depends on merchant txn history quality</t>
  </si>
  <si>
    <t xml:space="preserve">No agent-safe framework if an AI agent triggers credit drawdown</t>
  </si>
  <si>
    <t xml:space="preserve">Credit actions by agents = highest-stakes unguarded surface</t>
  </si>
  <si>
    <t xml:space="preserve">razorpay.com/x (VERIFIED exists); gap = HYPOTHESIS</t>
  </si>
  <si>
    <t xml:space="preserve">Corporate Cards</t>
  </si>
  <si>
    <t xml:space="preserve">Cashback on SaaS/marketing spend, 500+ tool discounts</t>
  </si>
  <si>
    <t xml:space="preserve">Startup finance teams</t>
  </si>
  <si>
    <t xml:space="preserve">Company card → vendors</t>
  </si>
  <si>
    <t xml:space="preserve">Uncontrolled SaaS spend; agents given cards is an emerging pattern</t>
  </si>
  <si>
    <t xml:space="preserve">No spend-scope enforcement when an AI agent holds card credentials</t>
  </si>
  <si>
    <t xml:space="preserve">Scoped, time-bound agent card credentials (cf. Mastercard Agentic Tokens)</t>
  </si>
  <si>
    <t xml:space="preserve">razorpay.com/x (VERIFIED exists); CBPN on agentic tokens (VERIFIED)</t>
  </si>
  <si>
    <t xml:space="preserve">Developer platform</t>
  </si>
  <si>
    <t xml:space="preserve">APIs, webhooks, SDKs, MCP server, n8n / Replit / Vercel nodes, UPI inside OpenAI Codex</t>
  </si>
  <si>
    <t xml:space="preserve">Developers, AI builders</t>
  </si>
  <si>
    <t xml:space="preserve">N/A — integration layer</t>
  </si>
  <si>
    <t xml:space="preserve">Integration still described by Razorpay as a ~5-hour job pre-agentic-platform</t>
  </si>
  <si>
    <t xml:space="preserve">No sandbox for testing AGENT behaviour against payment rails safely</t>
  </si>
  <si>
    <t xml:space="preserve">Agent-payments test harness / adversarial sandbox</t>
  </si>
  <si>
    <t xml:space="preserve">Sprint 26 + Agentic Platform blog (VERIFIED)</t>
  </si>
  <si>
    <t xml:space="preserve">NPCI Unified Agent Protocol (ecosystem-level)</t>
  </si>
  <si>
    <t xml:space="preserve">Registration, verification, authorisation of AI agents on UPI. Delegated payments with spend caps, building on UPI Circle</t>
  </si>
  <si>
    <t xml:space="preserve">Whole ecosystem incl. Razorpay</t>
  </si>
  <si>
    <t xml:space="preserve">Agent → UPI rails → merchant</t>
  </si>
  <si>
    <t xml:space="preserve">NOT LAUNCHED. Needs RBI approval. Industry's own open question: 'How do we control a machine going rogue?'</t>
  </si>
  <si>
    <t xml:space="preserve">Enforcement, verification and audit at the MERCHANT/PSP layer is unspecified and unbuilt</t>
  </si>
  <si>
    <t xml:space="preserve">STRONGEST WHITE SPACE — build the enforcement layer, not a competing protocol</t>
  </si>
  <si>
    <t xml:space="preserve">Business Standard on NPCI UAP (VERIFIED reporting); status = pre-launch</t>
  </si>
  <si>
    <t xml:space="preserve">Regulatory surface (CERT-In / RBI / DPDP)</t>
  </si>
  <si>
    <t xml:space="preserve">CERT-In Digital Threat Report 2025-26 (2026-07-16); RBI AFA rules; DPDP Act</t>
  </si>
  <si>
    <t xml:space="preserve">Every PSP incl. Razorpay</t>
  </si>
  <si>
    <t xml:space="preserve">N/A — constraint layer</t>
  </si>
  <si>
    <t xml:space="preserve">Mandatory human-in-the-loop above financial thresholds WITH FULL AUDIT TRAILS — recommended, unspecified as to who implements</t>
  </si>
  <si>
    <t xml:space="preserve">Nobody has built the reference implementation of 'compliant agentic money movement'</t>
  </si>
  <si>
    <t xml:space="preserve">Reference implementation = instant credibility with judges AND regulators</t>
  </si>
  <si>
    <t xml:space="preserve">Medianama on CERT-In report 2026-07-16 (VERIFIED)</t>
  </si>
  <si>
    <t xml:space="preserve">LEGEND</t>
  </si>
  <si>
    <t xml:space="preserve">Green = open space · Amber = Razorpay partially there · Red = Agent Studio already ships it (do not build here)</t>
  </si>
  <si>
    <t xml:space="preserve">VERIFIED = primary source, dated. HYPOTHESIS = my inference, unproven — these are what your 5 real conversations must kill or confirm.</t>
  </si>
  <si>
    <t xml:space="preserve">Problem Bank — 20 seeded candidates, weighted scoring</t>
  </si>
  <si>
    <t xml:space="preserve">Scores below are MY assessment from the research. They are seeds to argue with, not answers. Overwrite any score you disagree with — the weighted total recalculates. Disagreeing is the point of Day 2.</t>
  </si>
  <si>
    <t xml:space="preserve">WEIGHTS (edit these — yellow cells)</t>
  </si>
  <si>
    <t xml:space="preserve">Strategic alignment</t>
  </si>
  <si>
    <t xml:space="preserve">Demoability</t>
  </si>
  <si>
    <t xml:space="preserve">Buildability in 16d</t>
  </si>
  <si>
    <t xml:space="preserve">Technical depth</t>
  </si>
  <si>
    <t xml:space="preserve">Profile fit (your edge)</t>
  </si>
  <si>
    <t xml:space="preserve">Novelty</t>
  </si>
  <si>
    <t xml:space="preserve">Total</t>
  </si>
  <si>
    <t xml:space="preserve">Novelty is weighted LOWEST on purpose. Judges do not hire novelty — they hire 'this would work here'. Buildability is weighted high because an unbuilt 10/10 idea scores zero.</t>
  </si>
  <si>
    <t xml:space="preserve">Problem statement</t>
  </si>
  <si>
    <t xml:space="preserve">Money-moving?</t>
  </si>
  <si>
    <t xml:space="preserve">Evidence / source</t>
  </si>
  <si>
    <t xml:space="preserve">Razorpay already ships?</t>
  </si>
  <si>
    <t xml:space="preserve">Strat align</t>
  </si>
  <si>
    <t xml:space="preserve">Demoable</t>
  </si>
  <si>
    <t xml:space="preserve">Buildable</t>
  </si>
  <si>
    <t xml:space="preserve">Tech depth</t>
  </si>
  <si>
    <t xml:space="preserve">Profile fit</t>
  </si>
  <si>
    <t xml:space="preserve">WEIGHTED</t>
  </si>
  <si>
    <t xml:space="preserve">Verdict</t>
  </si>
  <si>
    <t xml:space="preserve">Kill reason / note</t>
  </si>
  <si>
    <t xml:space="preserve">Prompt-injection defence for payment-taking agents: agent is hijacked mid-task and tries to move money to an attacker</t>
  </si>
  <si>
    <t xml:space="preserve">Yes</t>
  </si>
  <si>
    <t xml:space="preserve">Merchants + PSPs deploying agents</t>
  </si>
  <si>
    <t xml:space="preserve">CBPN 2026-06: prompt injection named as agent-specific attack vector</t>
  </si>
  <si>
    <t xml:space="preserve">TOP 3</t>
  </si>
  <si>
    <t xml:space="preserve">Best demo in the bank — a visible attack, visibly caught. Narrow, buildable, on-thesis.</t>
  </si>
  <si>
    <t xml:space="preserve">Verifiable-intent layer: cryptographic proof of what the human actually authorised, surviving the hours/days gap before the agent acts</t>
  </si>
  <si>
    <t xml:space="preserve">PSPs, merchants, agent devs</t>
  </si>
  <si>
    <t xml:space="preserve">CBPN 2026-06: 'no cryptographic proof of what the human principal authorized'; temporal decoupling</t>
  </si>
  <si>
    <t xml:space="preserve">Deepest problem here. Risk: abstract. Only viable if paired with a demo that SHOWS a violation being caught.</t>
  </si>
  <si>
    <t xml:space="preserve">Policy enforcement gateway between third-party agents and payment rails (scopes, spend caps, velocity, category, time bounds)</t>
  </si>
  <si>
    <t xml:space="preserve">Platforms exposing rails to agents</t>
  </si>
  <si>
    <t xml:space="preserve">Agent Studio 3rd-party ecosystem announced not shipped; NPCI UAP pre-launch</t>
  </si>
  <si>
    <t xml:space="preserve">Directly fills the layer NPCI's protocol will require at the PSP edge. Protocol-agnostic = survives 'what if NPCI ships theirs'.</t>
  </si>
  <si>
    <t xml:space="preserve">Risk-aware human-in-the-loop escalation: deciding WHEN to interrupt a human, not just a flat rupee threshold</t>
  </si>
  <si>
    <t xml:space="preserve">Finance ops, RazorpayX users</t>
  </si>
  <si>
    <t xml:space="preserve">CERT-In Digital Threat Report 2025-26 (2026-07-16) mandates HITL above thresholds</t>
  </si>
  <si>
    <t xml:space="preserve">STRONG</t>
  </si>
  <si>
    <t xml:space="preserve">Regulatory tailwind is explicit. A flat threshold is the naive answer; a learned/risk-aware one is the interesting one.</t>
  </si>
  <si>
    <t xml:space="preserve">Tamper-evident audit trail + deterministic replay for every agent financial action</t>
  </si>
  <si>
    <t xml:space="preserve">Compliance, auditors, PSPs</t>
  </si>
  <si>
    <t xml:space="preserve">CERT-In explicitly requires 'full audit trails'</t>
  </si>
  <si>
    <t xml:space="preserve">Necessary, unglamorous. Best as a LAYER inside a bigger project, not the headline.</t>
  </si>
  <si>
    <t xml:space="preserve">Agent identity + reputation/trust scoring for a third-party agent marketplace</t>
  </si>
  <si>
    <t xml:space="preserve">Razorpay Agent Studio ecosystem</t>
  </si>
  <si>
    <t xml:space="preserve">Agent Studio open ecosystem announced, not shipped</t>
  </si>
  <si>
    <t xml:space="preserve">Closest thing to ASMOS's existing trust-score/reputation substrate. Risk: reads as ASMOS relabelled — must be genuinely re-derived.</t>
  </si>
  <si>
    <t xml:space="preserve">Cascading failure containment in multi-agent financial workflows (agent A's bad output triggers agent B's payout)</t>
  </si>
  <si>
    <t xml:space="preserve">Enterprises chaining agents</t>
  </si>
  <si>
    <t xml:space="preserve">CBPN 2026-06: 'multi-agent workflows lack adequate safeguards'</t>
  </si>
  <si>
    <t xml:space="preserve">Squarely your multi-agent background. Harder to scope small — beware.</t>
  </si>
  <si>
    <t xml:space="preserve">Pre-payment verification agent for vendor invoices (duplicate / anomaly / fraud) before money leaves</t>
  </si>
  <si>
    <t xml:space="preserve">Vendor Payments product exists; pain is HYPOTHESIS — validate first</t>
  </si>
  <si>
    <t xml:space="preserve">VALIDATE</t>
  </si>
  <si>
    <t xml:space="preserve">Very demoable and buildable, but the pain is unvalidated. Conversation #1 should test this.</t>
  </si>
  <si>
    <t xml:space="preserve">Deduction forensics: trace an unexplained settlement deduction to its cause with an auditable chain</t>
  </si>
  <si>
    <t xml:space="preserve">Razorpay's OWN blog: 'unexplained deductions finance teams cannot trace'</t>
  </si>
  <si>
    <t xml:space="preserve">Pain is in Razorpay's own words — rare. But is it AI-shaped or just a better report? Interrogate that.</t>
  </si>
  <si>
    <t xml:space="preserve">FX transparency agent: independently verify the FX rate and correspondent fees actually applied</t>
  </si>
  <si>
    <t xml:space="preserve">Razorpay's OWN blog: 'hidden FX deductions', undisclosed correspondent fees</t>
  </si>
  <si>
    <t xml:space="preserve">Real named pain. Data access to verify independently is the hard part — may be impossible in 16d.</t>
  </si>
  <si>
    <t xml:space="preserve">Payout failure recovery with rollback semantics for partially-failed batches</t>
  </si>
  <si>
    <t xml:space="preserve">Platforms, gig marketplaces</t>
  </si>
  <si>
    <t xml:space="preserve">Payouts Pro exists; pain = HYPOTHESIS</t>
  </si>
  <si>
    <t xml:space="preserve">MAYBE</t>
  </si>
  <si>
    <t xml:space="preserve">Solid engineering problem, thin novelty, weak story.</t>
  </si>
  <si>
    <t xml:space="preserve">Scoped, time-bound agent card credentials (India analogue of Mastercard Agentic Tokens)</t>
  </si>
  <si>
    <t xml:space="preserve">Startups giving agents spend access</t>
  </si>
  <si>
    <t xml:space="preserve">CBPN 2026-06 on Agentic Tokens; no Indian equivalent public spec</t>
  </si>
  <si>
    <t xml:space="preserve">Strong concept, but issuing real credentials is out of reach — you'd mock the hard part.</t>
  </si>
  <si>
    <t xml:space="preserve">Dispute resolution for agent-initiated transactions — answering 'who authorised this?' after the fact</t>
  </si>
  <si>
    <t xml:space="preserve">Merchants, issuers, consumers</t>
  </si>
  <si>
    <t xml:space="preserve">CBPN: agent dispute model unresolved; NPCI flags dispute mechanisms as open</t>
  </si>
  <si>
    <t xml:space="preserve">Genuinely unsolved. Hard to demo without first building the authorisation layer it depends on.</t>
  </si>
  <si>
    <t xml:space="preserve">Explainability for opaque payment risk decisions (why was this declined / routed / flagged)</t>
  </si>
  <si>
    <t xml:space="preserve">Merchants, shoppers, risk teams</t>
  </si>
  <si>
    <t xml:space="preserve">Vulcan is a black box; no published methodology or baselines</t>
  </si>
  <si>
    <t xml:space="preserve">Plays to your explainable-AI background. Risk: reads as criticising the thing they launched two days ago. Frame carefully.</t>
  </si>
  <si>
    <t xml:space="preserve">Agent-payments adversarial test harness / sandbox — CI for 'is my agent safe near money'</t>
  </si>
  <si>
    <t xml:space="preserve">Developers building payment agents</t>
  </si>
  <si>
    <t xml:space="preserve">No such sandbox exists in Razorpay's developer surface</t>
  </si>
  <si>
    <t xml:space="preserve">Very much your evaluation strength. Developer-tool framing may under-sell to business judges.</t>
  </si>
  <si>
    <t xml:space="preserve">Merchant-side visibility into agent-driven spend ('how much did AI agents spend on my behalf, and was any wrong')</t>
  </si>
  <si>
    <t xml:space="preserve">Merchants, CFOs</t>
  </si>
  <si>
    <t xml:space="preserve">Your own prior research question; no Razorpay product covers it</t>
  </si>
  <si>
    <t xml:space="preserve">Good dashboard, thin engineering. Would lose to a deeper project.</t>
  </si>
  <si>
    <t xml:space="preserve">Programmable + auditable conditional escrow release</t>
  </si>
  <si>
    <t xml:space="preserve">Real estate, marketplaces</t>
  </si>
  <si>
    <t xml:space="preserve">Escrow+ exists; conditional release is manual/contractual — HYPOTHESIS</t>
  </si>
  <si>
    <t xml:space="preserve">WEAK</t>
  </si>
  <si>
    <t xml:space="preserve">Interesting but far from the agentic thesis and hard to validate in 16 days.</t>
  </si>
  <si>
    <t xml:space="preserve">Cashflow forecasting for SMBs</t>
  </si>
  <si>
    <t xml:space="preserve">SMB finance</t>
  </si>
  <si>
    <t xml:space="preserve">Agent Studio ships Cashflow Forecaster</t>
  </si>
  <si>
    <t xml:space="preserve">YES</t>
  </si>
  <si>
    <t xml:space="preserve">KILL</t>
  </si>
  <si>
    <t xml:space="preserve">Razorpay already ships this. Rebuilding their agent with a nicer UI is the single most common losing move.</t>
  </si>
  <si>
    <t xml:space="preserve">RTO / COD risk prediction</t>
  </si>
  <si>
    <t xml:space="preserve">D2C brands</t>
  </si>
  <si>
    <t xml:space="preserve">Agent Studio ships RTO Shield + RTO Insights</t>
  </si>
  <si>
    <t xml:space="preserve">Already shipped. Also the most crowded idea in Indian fintech hackathons — you will not be remembered.</t>
  </si>
  <si>
    <t xml:space="preserve">Chargeback evidence automation</t>
  </si>
  <si>
    <t xml:space="preserve">Merchants, risk</t>
  </si>
  <si>
    <t xml:space="preserve">Agent Studio ships Dispute Responder</t>
  </si>
  <si>
    <t xml:space="preserve">Already shipped. Dead on arrival.</t>
  </si>
  <si>
    <t xml:space="preserve">Yellow/blue cells = edit these. Score 1-10. WEIGHTED column recalculates automatically.</t>
  </si>
  <si>
    <t xml:space="preserve">Red 'Razorpay already ships' = auto-kill. Do not rebuild one of Agent Studio's 8 existing agents.</t>
  </si>
  <si>
    <t xml:space="preserve">Example of expected format — row 1: scores are integers 1-10, Verdict is one of TOP 3 / STRONG / VALIDATE / MAYBE / WEAK / KILL.</t>
  </si>
  <si>
    <t xml:space="preserve">16-Day Tracker — Aug 20 → Sep 4 2026 (submit Sep 5)</t>
  </si>
  <si>
    <t xml:space="preserve">Update 'Actual %' daily. Overall completion is weighted by each day's share of the plan. Ship deadline is Sep 4, NOT Sep 5.</t>
  </si>
  <si>
    <t xml:space="preserve">Day</t>
  </si>
  <si>
    <t xml:space="preserve">Date</t>
  </si>
  <si>
    <t xml:space="preserve">Phase</t>
  </si>
  <si>
    <t xml:space="preserve">Planned output</t>
  </si>
  <si>
    <t xml:space="preserve">Gate</t>
  </si>
  <si>
    <t xml:space="preserve">Target %</t>
  </si>
  <si>
    <t xml:space="preserve">Actual %</t>
  </si>
  <si>
    <t xml:space="preserve">Status / blocker</t>
  </si>
  <si>
    <t xml:space="preserve">Thu 20 Aug</t>
  </si>
  <si>
    <t xml:space="preserve">GATE 0</t>
  </si>
  <si>
    <t xml:space="preserve">Confirm deadline, tracks, submission format, pre-built rule, API access, team size</t>
  </si>
  <si>
    <t xml:space="preserve">GATE 0 — BLOCKING</t>
  </si>
  <si>
    <t xml:space="preserve">Landscape</t>
  </si>
  <si>
    <t xml:space="preserve">Verify + extend the landscape map</t>
  </si>
  <si>
    <t xml:space="preserve">Fri 21 Aug</t>
  </si>
  <si>
    <t xml:space="preserve">Problem hunt</t>
  </si>
  <si>
    <t xml:space="preserve">Kill colliding seeds, add your own, score in one pass</t>
  </si>
  <si>
    <t xml:space="preserve">Sat 22 Aug</t>
  </si>
  <si>
    <t xml:space="preserve">Cut to 3</t>
  </si>
  <si>
    <t xml:space="preserve">Three one-page theses. Five outreach messages sent.</t>
  </si>
  <si>
    <t xml:space="preserve">GATE 1 — 3 one-pagers</t>
  </si>
  <si>
    <t xml:space="preserve">Sun 23 Aug</t>
  </si>
  <si>
    <t xml:space="preserve">Validate</t>
  </si>
  <si>
    <t xml:space="preserve">3-5 real conversations with people who move money</t>
  </si>
  <si>
    <t xml:space="preserve">Mon 24 Aug</t>
  </si>
  <si>
    <t xml:space="preserve">LOCK</t>
  </si>
  <si>
    <t xml:space="preserve">One problem locked. Thesis + architecture + DEMO SCRIPT written before any code.</t>
  </si>
  <si>
    <t xml:space="preserve">GATE 2 — HARD COMMIT</t>
  </si>
  <si>
    <t xml:space="preserve">Tue 25 Aug</t>
  </si>
  <si>
    <t xml:space="preserve">Build spine</t>
  </si>
  <si>
    <t xml:space="preserve">Vertical slice part 1: reason → decide → act (mocked)</t>
  </si>
  <si>
    <t xml:space="preserve">Wed 26 Aug</t>
  </si>
  <si>
    <t xml:space="preserve">Vertical slice part 2: verify → audit. It must RUN.</t>
  </si>
  <si>
    <t xml:space="preserve">Thu 27 Aug</t>
  </si>
  <si>
    <t xml:space="preserve">Safety layer</t>
  </si>
  <si>
    <t xml:space="preserve">Permissions, scopes, limits, velocity. Credential boundary implemented.</t>
  </si>
  <si>
    <t xml:space="preserve">Fri 28 Aug</t>
  </si>
  <si>
    <t xml:space="preserve">Verification</t>
  </si>
  <si>
    <t xml:space="preserve">Verification layer — go deep. This is the moat.</t>
  </si>
  <si>
    <t xml:space="preserve">Sat 29 Aug</t>
  </si>
  <si>
    <t xml:space="preserve">Audit layer</t>
  </si>
  <si>
    <t xml:space="preserve">Every consequential action recorded, replayable, queryable</t>
  </si>
  <si>
    <t xml:space="preserve">GATE 3 — loop runs e2e</t>
  </si>
  <si>
    <t xml:space="preserve">Sun 30 Aug</t>
  </si>
  <si>
    <t xml:space="preserve">Evaluation</t>
  </si>
  <si>
    <t xml:space="preserve">Adversarial harness: injection, limit breach, tool failure, cascade</t>
  </si>
  <si>
    <t xml:space="preserve">Mon 31 Aug</t>
  </si>
  <si>
    <t xml:space="preserve">Run it. Get numbers. Multi-seed where applicable.</t>
  </si>
  <si>
    <t xml:space="preserve">Tue 1 Sep</t>
  </si>
  <si>
    <t xml:space="preserve">Demo surface</t>
  </si>
  <si>
    <t xml:space="preserve">UI / demo surface — only now</t>
  </si>
  <si>
    <t xml:space="preserve">GATE 4 — you have numbers</t>
  </si>
  <si>
    <t xml:space="preserve">Wed 2 Sep</t>
  </si>
  <si>
    <t xml:space="preserve">Demo</t>
  </si>
  <si>
    <t xml:space="preserve">Record demo. Many takes. 90 seconds.</t>
  </si>
  <si>
    <t xml:space="preserve">Thu 3 Sep</t>
  </si>
  <si>
    <t xml:space="preserve">Narrative</t>
  </si>
  <si>
    <t xml:space="preserve">Submission writeup + README a stranger can run</t>
  </si>
  <si>
    <t xml:space="preserve">Fri 4 Sep</t>
  </si>
  <si>
    <t xml:space="preserve">SHIP</t>
  </si>
  <si>
    <t xml:space="preserve">Buffer. Everything submittable by end of day.</t>
  </si>
  <si>
    <t xml:space="preserve">SHIP — real deadline</t>
  </si>
  <si>
    <t xml:space="preserve">OVERALL COMPLETION</t>
  </si>
  <si>
    <t xml:space="preserve">Days logged</t>
  </si>
  <si>
    <t xml:space="preserve">Behind plan?</t>
  </si>
  <si>
    <t xml:space="preserve">Yellow cells = fill in daily. Actual % is cumulative project completion, not that day's effort.</t>
  </si>
  <si>
    <t xml:space="preserve">Example (row for Day 0) is pre-filled at 5% to show the expected format.</t>
  </si>
  <si>
    <t xml:space="preserve">'BEHIND — CUT SCOPE' is an instruction, not a warning. Cut UI before cutting evaluation.</t>
  </si>
  <si>
    <t xml:space="preserve">Source log — everything above traces to one of these</t>
  </si>
  <si>
    <t xml:space="preserve">Confidence: VERIFIED = primary/dated. REPORTED = credible secondary. UNCONFIRMED = single weak source, treat as rumour.</t>
  </si>
  <si>
    <t xml:space="preserve">Source</t>
  </si>
  <si>
    <t xml:space="preserve">What it establishes</t>
  </si>
  <si>
    <t xml:space="preserve">Confidence</t>
  </si>
  <si>
    <t xml:space="preserve">URL</t>
  </si>
  <si>
    <t xml:space="preserve">Razorpay Buildathon page</t>
  </si>
  <si>
    <t xml:space="preserve">live</t>
  </si>
  <si>
    <t xml:space="preserve">Student-only program to hire AI Builder Interns; 'no resume screening'. Body content NOT machine-readable.</t>
  </si>
  <si>
    <t xml:space="preserve">VERIFIED (metadata only)</t>
  </si>
  <si>
    <t xml:space="preserve">https://razorpay.com/buildathon/</t>
  </si>
  <si>
    <t xml:space="preserve">X post, @ajay_2512x</t>
  </si>
  <si>
    <t xml:space="preserve">Aug 2026</t>
  </si>
  <si>
    <t xml:space="preserve">₹75k/month, 6-12 months, Bangalore, students only, closes 5 Sept, track 'AI Growth &amp; Agentic Commerce'</t>
  </si>
  <si>
    <t xml:space="preserve">UNCONFIRMED — single third-party post</t>
  </si>
  <si>
    <t xml:space="preserve">https://x.com/ajay_2512x/status/2090393869473165453</t>
  </si>
  <si>
    <t xml:space="preserve">AWS press release</t>
  </si>
  <si>
    <t xml:space="preserve">2026-08-18</t>
  </si>
  <si>
    <t xml:space="preserve">Vulcan: 4B payments, 3T datapoints, NVIDIA GPUs + AWS SageMaker, exec quotes, $350B e-comm framing</t>
  </si>
  <si>
    <t xml:space="preserve">VERIFIED</t>
  </si>
  <si>
    <t xml:space="preserve">https://press.aboutamazon.com/aws-international/2026/8/razorpay-launches-vulcan-indias-first-ai-payments-foundation-model-fueled-by-nvidia-and-aws-re-architecting-payments-for-a-350-bn-e-comm-future-by-2030</t>
  </si>
  <si>
    <t xml:space="preserve">Medianama — Vulcan</t>
  </si>
  <si>
    <t xml:space="preserve">No published methodology/baselines; DPDP consent gap; Razorpay is a data processor not owner</t>
  </si>
  <si>
    <t xml:space="preserve">VERIFIED reporting</t>
  </si>
  <si>
    <t xml:space="preserve">https://www.medianama.com/2026/08/223-razorpay-vulcan-ai-foundation-model-payments/</t>
  </si>
  <si>
    <t xml:space="preserve">Medianama — CERT-In</t>
  </si>
  <si>
    <t xml:space="preserve">2026-07-16</t>
  </si>
  <si>
    <t xml:space="preserve">Digital Threat Report 2025-26: mandatory human-in-the-loop above financial thresholds WITH FULL AUDIT TRAILS</t>
  </si>
  <si>
    <t xml:space="preserve">https://www.medianama.com/2026/07/223-meity-proposes-mandatory-human-interventions-agentic-ai-payments/</t>
  </si>
  <si>
    <t xml:space="preserve">Business Standard — NPCI UAP</t>
  </si>
  <si>
    <t xml:space="preserve">2026-07</t>
  </si>
  <si>
    <t xml:space="preserve">Unified Agent Protocol: agent registration/verification/authorisation on UPI. Pre-launch, needs RBI nod. 'How do we control a machine going rogue?'</t>
  </si>
  <si>
    <t xml:space="preserve">https://www.business-standard.com/finance/news/india-may-allow-agentic-ai-led-upi-transactions-under-new-npci-protocol-126070801343_1.html</t>
  </si>
  <si>
    <t xml:space="preserve">Central Bank Payments News</t>
  </si>
  <si>
    <t xml:space="preserve">2026-06-26</t>
  </si>
  <si>
    <t xml:space="preserve">No cryptographic proof of principal authorisation; temporal decoupling; prompt injection, intent drift, hijacking, cascading failure; Mastercard Agentic Tokens + Verifiable Intent</t>
  </si>
  <si>
    <t xml:space="preserve">https://cbpn.currencyresearch.com/blog/2026/06/26/who-authorized-this-identity-delegation-and-security-in-agentic-payments</t>
  </si>
  <si>
    <t xml:space="preserve">Razorpay — Agent Studio blog</t>
  </si>
  <si>
    <t xml:space="preserve">2026-03-12</t>
  </si>
  <si>
    <t xml:space="preserve">8 shipped agents; no-code builder in beta; third-party ecosystem PLANNED not shipped; built on Claude Agent SDK</t>
  </si>
  <si>
    <t xml:space="preserve">https://razorpay.com/blog/agent-studio-ai-agents-by-razorpay/</t>
  </si>
  <si>
    <t xml:space="preserve">Razorpay — Agentic Platform blog</t>
  </si>
  <si>
    <t xml:space="preserve">RazorSense design system; named merchant pains: multi-day onboarding, 5-hour integration, manual reconciliation</t>
  </si>
  <si>
    <t xml:space="preserve">https://razorpay.com/blog/razorpay-agentic-platform/</t>
  </si>
  <si>
    <t xml:space="preserve">Razorpay Sprint 2026</t>
  </si>
  <si>
    <t xml:space="preserve">2026</t>
  </si>
  <si>
    <t xml:space="preserve">'The Age of Agentic Payments'; 100+ launches; four pillars incl. RazorpayX autonomous finance</t>
  </si>
  <si>
    <t xml:space="preserve">https://razorpay.com/sprint/26</t>
  </si>
  <si>
    <t xml:space="preserve">Razorpay — Settlement Transparency blog</t>
  </si>
  <si>
    <t xml:space="preserve">Razorpay's OWN words on merchant pain: unexplained deductions, missing UTRs, indefinite holds, hidden FX deductions</t>
  </si>
  <si>
    <t xml:space="preserve">https://razorpay.com/blog/settlement-transparency-the-complete-merchant-playbook-for-questioning-your-payment-gateway-in-2026</t>
  </si>
  <si>
    <t xml:space="preserve">Razorpay llms.txt</t>
  </si>
  <si>
    <t xml:space="preserve">Full 93-item product/page inventory used to build the landscape map</t>
  </si>
  <si>
    <t xml:space="preserve">https://razorpay.com/llms.txt</t>
  </si>
  <si>
    <t xml:space="preserve">Razorpay — Agentic Payments blog</t>
  </si>
  <si>
    <t xml:space="preserve">UPI Reserve Pay named; NO technical spec for authorisation model, scopes, or limits</t>
  </si>
  <si>
    <t xml:space="preserve">VERIFIED (absence)</t>
  </si>
  <si>
    <t xml:space="preserve">https://razorpay.com/blog/agentic-payments-the-future-of-in-app-commerce/</t>
  </si>
  <si>
    <t xml:space="preserve">Greenhouse — AI Builder req</t>
  </si>
  <si>
    <t xml:space="preserve">Role shape: chief-of-staff, first-principles problem decomposition, 'discovery to demo in under two weeks', multi-agent + RAG, Claude Code/Cursor</t>
  </si>
  <si>
    <t xml:space="preserve">https://job-boards.greenhouse.io/razorpaysoftwareprivatelimited/jobs/4713785005</t>
  </si>
  <si>
    <t xml:space="preserve">Solo.io MCP hackathon winners</t>
  </si>
  <si>
    <t xml:space="preserve">Winners were narrow + operational; two of them were about CONSTRAINING agents, not extending them</t>
  </si>
  <si>
    <t xml:space="preserve">https://www.solo.io/blog/celebrating-the-winners-of-the-2026-hackathon-for-mcp-ai-agents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</si>
</sst>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42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20"/>
    <col collapsed="false" customWidth="true" hidden="false" outlineLevel="0" max="10" min="10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61.5" hidden="false" customHeight="true" outlineLevel="0" collapsed="false">
      <c r="A5" s="4" t="n">
        <v>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6" t="s">
        <v>19</v>
      </c>
      <c r="J5" s="5" t="s">
        <v>20</v>
      </c>
    </row>
    <row r="6" customFormat="false" ht="61.5" hidden="false" customHeight="true" outlineLevel="0" collapsed="false">
      <c r="A6" s="4" t="n">
        <v>2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  <c r="G6" s="5" t="s">
        <v>26</v>
      </c>
      <c r="H6" s="5" t="s">
        <v>27</v>
      </c>
      <c r="I6" s="6" t="s">
        <v>19</v>
      </c>
      <c r="J6" s="5" t="s">
        <v>28</v>
      </c>
    </row>
    <row r="7" customFormat="false" ht="61.5" hidden="false" customHeight="true" outlineLevel="0" collapsed="false">
      <c r="A7" s="4" t="n">
        <v>3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33</v>
      </c>
      <c r="G7" s="5" t="s">
        <v>34</v>
      </c>
      <c r="H7" s="5" t="s">
        <v>35</v>
      </c>
      <c r="I7" s="6" t="s">
        <v>19</v>
      </c>
      <c r="J7" s="5" t="s">
        <v>36</v>
      </c>
    </row>
    <row r="8" customFormat="false" ht="61.5" hidden="false" customHeight="true" outlineLevel="0" collapsed="false">
      <c r="A8" s="4" t="n">
        <v>4</v>
      </c>
      <c r="B8" s="5" t="s">
        <v>37</v>
      </c>
      <c r="C8" s="5" t="s">
        <v>38</v>
      </c>
      <c r="D8" s="5" t="s">
        <v>39</v>
      </c>
      <c r="E8" s="5" t="s">
        <v>40</v>
      </c>
      <c r="F8" s="5" t="s">
        <v>41</v>
      </c>
      <c r="G8" s="5" t="s">
        <v>42</v>
      </c>
      <c r="H8" s="5" t="s">
        <v>43</v>
      </c>
      <c r="I8" s="7" t="s">
        <v>44</v>
      </c>
      <c r="J8" s="5" t="s">
        <v>45</v>
      </c>
    </row>
    <row r="9" customFormat="false" ht="61.5" hidden="false" customHeight="true" outlineLevel="0" collapsed="false">
      <c r="A9" s="4" t="n">
        <v>5</v>
      </c>
      <c r="B9" s="5" t="s">
        <v>46</v>
      </c>
      <c r="C9" s="5" t="s">
        <v>47</v>
      </c>
      <c r="D9" s="5" t="s">
        <v>48</v>
      </c>
      <c r="E9" s="5" t="s">
        <v>49</v>
      </c>
      <c r="F9" s="5" t="s">
        <v>50</v>
      </c>
      <c r="G9" s="5" t="s">
        <v>51</v>
      </c>
      <c r="H9" s="5" t="s">
        <v>52</v>
      </c>
      <c r="I9" s="7" t="s">
        <v>53</v>
      </c>
      <c r="J9" s="5" t="s">
        <v>54</v>
      </c>
    </row>
    <row r="10" customFormat="false" ht="61.5" hidden="false" customHeight="true" outlineLevel="0" collapsed="false">
      <c r="A10" s="4" t="n">
        <v>6</v>
      </c>
      <c r="B10" s="5" t="s">
        <v>55</v>
      </c>
      <c r="C10" s="5" t="s">
        <v>56</v>
      </c>
      <c r="D10" s="5" t="s">
        <v>57</v>
      </c>
      <c r="E10" s="5" t="s">
        <v>58</v>
      </c>
      <c r="F10" s="5" t="s">
        <v>59</v>
      </c>
      <c r="G10" s="5" t="s">
        <v>60</v>
      </c>
      <c r="H10" s="5" t="s">
        <v>61</v>
      </c>
      <c r="I10" s="6" t="s">
        <v>19</v>
      </c>
      <c r="J10" s="5" t="s">
        <v>62</v>
      </c>
    </row>
    <row r="11" customFormat="false" ht="61.5" hidden="false" customHeight="true" outlineLevel="0" collapsed="false">
      <c r="A11" s="4" t="n">
        <v>7</v>
      </c>
      <c r="B11" s="5" t="s">
        <v>63</v>
      </c>
      <c r="C11" s="5" t="s">
        <v>64</v>
      </c>
      <c r="D11" s="5" t="s">
        <v>65</v>
      </c>
      <c r="E11" s="5" t="s">
        <v>66</v>
      </c>
      <c r="F11" s="5" t="s">
        <v>67</v>
      </c>
      <c r="G11" s="5" t="s">
        <v>68</v>
      </c>
      <c r="H11" s="5" t="s">
        <v>69</v>
      </c>
      <c r="I11" s="8" t="s">
        <v>70</v>
      </c>
      <c r="J11" s="5" t="s">
        <v>71</v>
      </c>
    </row>
    <row r="12" customFormat="false" ht="61.5" hidden="false" customHeight="true" outlineLevel="0" collapsed="false">
      <c r="A12" s="4" t="n">
        <v>8</v>
      </c>
      <c r="B12" s="5" t="s">
        <v>72</v>
      </c>
      <c r="C12" s="5" t="s">
        <v>73</v>
      </c>
      <c r="D12" s="5" t="s">
        <v>74</v>
      </c>
      <c r="E12" s="5" t="s">
        <v>75</v>
      </c>
      <c r="F12" s="5" t="s">
        <v>76</v>
      </c>
      <c r="G12" s="5" t="s">
        <v>77</v>
      </c>
      <c r="H12" s="5" t="s">
        <v>78</v>
      </c>
      <c r="I12" s="6" t="s">
        <v>19</v>
      </c>
      <c r="J12" s="5" t="s">
        <v>79</v>
      </c>
    </row>
    <row r="13" customFormat="false" ht="61.5" hidden="false" customHeight="true" outlineLevel="0" collapsed="false">
      <c r="A13" s="4" t="n">
        <v>9</v>
      </c>
      <c r="B13" s="5" t="s">
        <v>80</v>
      </c>
      <c r="C13" s="5" t="s">
        <v>81</v>
      </c>
      <c r="D13" s="5" t="s">
        <v>82</v>
      </c>
      <c r="E13" s="5" t="s">
        <v>83</v>
      </c>
      <c r="F13" s="5" t="s">
        <v>84</v>
      </c>
      <c r="G13" s="5" t="s">
        <v>85</v>
      </c>
      <c r="H13" s="5" t="s">
        <v>86</v>
      </c>
      <c r="I13" s="6" t="s">
        <v>19</v>
      </c>
      <c r="J13" s="5" t="s">
        <v>87</v>
      </c>
    </row>
    <row r="14" customFormat="false" ht="61.5" hidden="false" customHeight="true" outlineLevel="0" collapsed="false">
      <c r="A14" s="4" t="n">
        <v>10</v>
      </c>
      <c r="B14" s="5" t="s">
        <v>88</v>
      </c>
      <c r="C14" s="5" t="s">
        <v>89</v>
      </c>
      <c r="D14" s="5" t="s">
        <v>90</v>
      </c>
      <c r="E14" s="5" t="s">
        <v>91</v>
      </c>
      <c r="F14" s="5" t="s">
        <v>92</v>
      </c>
      <c r="G14" s="5" t="s">
        <v>93</v>
      </c>
      <c r="H14" s="5" t="s">
        <v>94</v>
      </c>
      <c r="I14" s="8" t="s">
        <v>95</v>
      </c>
      <c r="J14" s="5" t="s">
        <v>96</v>
      </c>
    </row>
    <row r="15" customFormat="false" ht="61.5" hidden="false" customHeight="true" outlineLevel="0" collapsed="false">
      <c r="A15" s="4" t="n">
        <v>11</v>
      </c>
      <c r="B15" s="5" t="s">
        <v>97</v>
      </c>
      <c r="C15" s="5" t="s">
        <v>98</v>
      </c>
      <c r="D15" s="5" t="s">
        <v>99</v>
      </c>
      <c r="E15" s="5" t="s">
        <v>100</v>
      </c>
      <c r="F15" s="5" t="s">
        <v>101</v>
      </c>
      <c r="G15" s="5" t="s">
        <v>102</v>
      </c>
      <c r="H15" s="5" t="s">
        <v>94</v>
      </c>
      <c r="I15" s="8" t="s">
        <v>103</v>
      </c>
      <c r="J15" s="5" t="s">
        <v>104</v>
      </c>
    </row>
    <row r="16" customFormat="false" ht="61.5" hidden="false" customHeight="true" outlineLevel="0" collapsed="false">
      <c r="A16" s="4" t="n">
        <v>12</v>
      </c>
      <c r="B16" s="5" t="s">
        <v>105</v>
      </c>
      <c r="C16" s="5" t="s">
        <v>106</v>
      </c>
      <c r="D16" s="5" t="s">
        <v>107</v>
      </c>
      <c r="E16" s="5" t="s">
        <v>108</v>
      </c>
      <c r="F16" s="5" t="s">
        <v>109</v>
      </c>
      <c r="G16" s="5" t="s">
        <v>110</v>
      </c>
      <c r="H16" s="5" t="s">
        <v>111</v>
      </c>
      <c r="I16" s="7" t="s">
        <v>112</v>
      </c>
      <c r="J16" s="5" t="s">
        <v>113</v>
      </c>
    </row>
    <row r="17" customFormat="false" ht="61.5" hidden="false" customHeight="true" outlineLevel="0" collapsed="false">
      <c r="A17" s="4" t="n">
        <v>13</v>
      </c>
      <c r="B17" s="5" t="s">
        <v>114</v>
      </c>
      <c r="C17" s="5" t="s">
        <v>115</v>
      </c>
      <c r="D17" s="5" t="s">
        <v>116</v>
      </c>
      <c r="E17" s="5" t="s">
        <v>117</v>
      </c>
      <c r="F17" s="5" t="s">
        <v>118</v>
      </c>
      <c r="G17" s="5" t="s">
        <v>119</v>
      </c>
      <c r="H17" s="5" t="s">
        <v>120</v>
      </c>
      <c r="I17" s="6" t="s">
        <v>19</v>
      </c>
      <c r="J17" s="5" t="s">
        <v>121</v>
      </c>
    </row>
    <row r="18" customFormat="false" ht="61.5" hidden="false" customHeight="true" outlineLevel="0" collapsed="false">
      <c r="A18" s="4" t="n">
        <v>14</v>
      </c>
      <c r="B18" s="5" t="s">
        <v>122</v>
      </c>
      <c r="C18" s="5" t="s">
        <v>123</v>
      </c>
      <c r="D18" s="5" t="s">
        <v>124</v>
      </c>
      <c r="E18" s="5" t="s">
        <v>125</v>
      </c>
      <c r="F18" s="5" t="s">
        <v>126</v>
      </c>
      <c r="G18" s="5" t="s">
        <v>127</v>
      </c>
      <c r="H18" s="5" t="s">
        <v>128</v>
      </c>
      <c r="I18" s="6" t="s">
        <v>19</v>
      </c>
      <c r="J18" s="5" t="s">
        <v>129</v>
      </c>
    </row>
    <row r="19" customFormat="false" ht="61.5" hidden="false" customHeight="true" outlineLevel="0" collapsed="false">
      <c r="A19" s="4" t="n">
        <v>15</v>
      </c>
      <c r="B19" s="5" t="s">
        <v>130</v>
      </c>
      <c r="C19" s="5" t="s">
        <v>131</v>
      </c>
      <c r="D19" s="5" t="s">
        <v>132</v>
      </c>
      <c r="E19" s="5" t="s">
        <v>133</v>
      </c>
      <c r="F19" s="5" t="s">
        <v>134</v>
      </c>
      <c r="G19" s="5" t="s">
        <v>135</v>
      </c>
      <c r="H19" s="5" t="s">
        <v>136</v>
      </c>
      <c r="I19" s="7" t="s">
        <v>137</v>
      </c>
      <c r="J19" s="5" t="s">
        <v>138</v>
      </c>
    </row>
    <row r="20" customFormat="false" ht="61.5" hidden="false" customHeight="true" outlineLevel="0" collapsed="false">
      <c r="A20" s="4" t="n">
        <v>16</v>
      </c>
      <c r="B20" s="5" t="s">
        <v>139</v>
      </c>
      <c r="C20" s="5" t="s">
        <v>140</v>
      </c>
      <c r="D20" s="5" t="s">
        <v>141</v>
      </c>
      <c r="E20" s="5" t="s">
        <v>142</v>
      </c>
      <c r="F20" s="5" t="s">
        <v>143</v>
      </c>
      <c r="G20" s="5" t="s">
        <v>144</v>
      </c>
      <c r="H20" s="5" t="s">
        <v>145</v>
      </c>
      <c r="I20" s="6" t="s">
        <v>19</v>
      </c>
      <c r="J20" s="5" t="s">
        <v>146</v>
      </c>
    </row>
    <row r="21" customFormat="false" ht="61.5" hidden="false" customHeight="true" outlineLevel="0" collapsed="false">
      <c r="A21" s="4" t="n">
        <v>17</v>
      </c>
      <c r="B21" s="5" t="s">
        <v>147</v>
      </c>
      <c r="C21" s="5" t="s">
        <v>148</v>
      </c>
      <c r="D21" s="5" t="s">
        <v>149</v>
      </c>
      <c r="E21" s="5" t="s">
        <v>150</v>
      </c>
      <c r="F21" s="5" t="s">
        <v>151</v>
      </c>
      <c r="G21" s="5" t="s">
        <v>152</v>
      </c>
      <c r="H21" s="5" t="s">
        <v>153</v>
      </c>
      <c r="I21" s="6" t="s">
        <v>19</v>
      </c>
      <c r="J21" s="5" t="s">
        <v>154</v>
      </c>
    </row>
    <row r="22" customFormat="false" ht="61.5" hidden="false" customHeight="true" outlineLevel="0" collapsed="false">
      <c r="A22" s="4" t="n">
        <v>18</v>
      </c>
      <c r="B22" s="5" t="s">
        <v>155</v>
      </c>
      <c r="C22" s="5" t="s">
        <v>156</v>
      </c>
      <c r="D22" s="5" t="s">
        <v>157</v>
      </c>
      <c r="E22" s="5" t="s">
        <v>158</v>
      </c>
      <c r="F22" s="5" t="s">
        <v>159</v>
      </c>
      <c r="G22" s="5" t="s">
        <v>160</v>
      </c>
      <c r="H22" s="5" t="s">
        <v>161</v>
      </c>
      <c r="I22" s="6" t="s">
        <v>19</v>
      </c>
      <c r="J22" s="5" t="s">
        <v>162</v>
      </c>
    </row>
    <row r="23" customFormat="false" ht="61.5" hidden="false" customHeight="true" outlineLevel="0" collapsed="false">
      <c r="A23" s="4" t="n">
        <v>19</v>
      </c>
      <c r="B23" s="5" t="s">
        <v>163</v>
      </c>
      <c r="C23" s="5" t="s">
        <v>164</v>
      </c>
      <c r="D23" s="5" t="s">
        <v>165</v>
      </c>
      <c r="E23" s="5" t="s">
        <v>166</v>
      </c>
      <c r="F23" s="5" t="s">
        <v>167</v>
      </c>
      <c r="G23" s="5" t="s">
        <v>168</v>
      </c>
      <c r="H23" s="5" t="s">
        <v>169</v>
      </c>
      <c r="I23" s="6" t="s">
        <v>19</v>
      </c>
      <c r="J23" s="5" t="s">
        <v>170</v>
      </c>
    </row>
    <row r="24" customFormat="false" ht="61.5" hidden="false" customHeight="true" outlineLevel="0" collapsed="false">
      <c r="A24" s="4" t="n">
        <v>20</v>
      </c>
      <c r="B24" s="5" t="s">
        <v>171</v>
      </c>
      <c r="C24" s="5" t="s">
        <v>172</v>
      </c>
      <c r="D24" s="5" t="s">
        <v>173</v>
      </c>
      <c r="E24" s="5" t="s">
        <v>174</v>
      </c>
      <c r="F24" s="5" t="s">
        <v>175</v>
      </c>
      <c r="G24" s="5" t="s">
        <v>176</v>
      </c>
      <c r="H24" s="5" t="s">
        <v>177</v>
      </c>
      <c r="I24" s="6" t="s">
        <v>19</v>
      </c>
      <c r="J24" s="5" t="s">
        <v>178</v>
      </c>
    </row>
    <row r="25" customFormat="false" ht="61.5" hidden="false" customHeight="true" outlineLevel="0" collapsed="false">
      <c r="A25" s="4" t="n">
        <v>21</v>
      </c>
      <c r="B25" s="5" t="s">
        <v>179</v>
      </c>
      <c r="C25" s="5" t="s">
        <v>180</v>
      </c>
      <c r="D25" s="5" t="s">
        <v>181</v>
      </c>
      <c r="E25" s="5" t="s">
        <v>182</v>
      </c>
      <c r="F25" s="5" t="s">
        <v>183</v>
      </c>
      <c r="G25" s="5" t="s">
        <v>184</v>
      </c>
      <c r="H25" s="5" t="s">
        <v>185</v>
      </c>
      <c r="I25" s="6" t="s">
        <v>19</v>
      </c>
      <c r="J25" s="5" t="s">
        <v>186</v>
      </c>
    </row>
    <row r="26" customFormat="false" ht="61.5" hidden="false" customHeight="true" outlineLevel="0" collapsed="false">
      <c r="A26" s="4" t="n">
        <v>22</v>
      </c>
      <c r="B26" s="5" t="s">
        <v>187</v>
      </c>
      <c r="C26" s="5" t="s">
        <v>188</v>
      </c>
      <c r="D26" s="5" t="s">
        <v>189</v>
      </c>
      <c r="E26" s="5" t="s">
        <v>190</v>
      </c>
      <c r="F26" s="5" t="s">
        <v>191</v>
      </c>
      <c r="G26" s="5" t="s">
        <v>192</v>
      </c>
      <c r="H26" s="5" t="s">
        <v>193</v>
      </c>
      <c r="I26" s="6" t="s">
        <v>19</v>
      </c>
      <c r="J26" s="5" t="s">
        <v>194</v>
      </c>
    </row>
    <row r="27" customFormat="false" ht="61.5" hidden="false" customHeight="true" outlineLevel="0" collapsed="false">
      <c r="A27" s="4" t="n">
        <v>23</v>
      </c>
      <c r="B27" s="5" t="s">
        <v>195</v>
      </c>
      <c r="C27" s="5" t="s">
        <v>196</v>
      </c>
      <c r="D27" s="5" t="s">
        <v>197</v>
      </c>
      <c r="E27" s="5" t="s">
        <v>198</v>
      </c>
      <c r="F27" s="5" t="s">
        <v>199</v>
      </c>
      <c r="G27" s="5" t="s">
        <v>200</v>
      </c>
      <c r="H27" s="5" t="s">
        <v>201</v>
      </c>
      <c r="I27" s="6" t="s">
        <v>19</v>
      </c>
      <c r="J27" s="5" t="s">
        <v>202</v>
      </c>
    </row>
    <row r="29" customFormat="false" ht="15" hidden="false" customHeight="false" outlineLevel="0" collapsed="false">
      <c r="A29" s="9" t="s">
        <v>203</v>
      </c>
    </row>
    <row r="30" customFormat="false" ht="15" hidden="false" customHeight="false" outlineLevel="0" collapsed="false">
      <c r="A30" s="2" t="s">
        <v>204</v>
      </c>
    </row>
    <row r="31" customFormat="false" ht="15" hidden="false" customHeight="false" outlineLevel="0" collapsed="false">
      <c r="A31" s="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38"/>
    <col collapsed="false" customWidth="true" hidden="false" outlineLevel="0" max="6" min="6" style="0" width="15"/>
    <col collapsed="false" customWidth="true" hidden="false" outlineLevel="0" max="12" min="7" style="0" width="9"/>
    <col collapsed="false" customWidth="true" hidden="false" outlineLevel="0" max="14" min="13" style="0" width="11"/>
    <col collapsed="false" customWidth="true" hidden="false" outlineLevel="0" max="15" min="15" style="0" width="44"/>
  </cols>
  <sheetData>
    <row r="1" customFormat="false" ht="17.35" hidden="false" customHeight="false" outlineLevel="0" collapsed="false">
      <c r="A1" s="1" t="s">
        <v>206</v>
      </c>
    </row>
    <row r="2" customFormat="false" ht="15" hidden="false" customHeight="false" outlineLevel="0" collapsed="false">
      <c r="A2" s="2" t="s">
        <v>207</v>
      </c>
    </row>
    <row r="4" customFormat="false" ht="15" hidden="false" customHeight="false" outlineLevel="0" collapsed="false">
      <c r="A4" s="9" t="s">
        <v>208</v>
      </c>
    </row>
    <row r="5" customFormat="false" ht="15" hidden="false" customHeight="false" outlineLevel="0" collapsed="false">
      <c r="A5" s="10" t="s">
        <v>209</v>
      </c>
      <c r="B5" s="10" t="s">
        <v>210</v>
      </c>
      <c r="C5" s="10" t="s">
        <v>211</v>
      </c>
      <c r="D5" s="10" t="s">
        <v>212</v>
      </c>
      <c r="E5" s="10" t="s">
        <v>213</v>
      </c>
      <c r="F5" s="10" t="s">
        <v>214</v>
      </c>
      <c r="G5" s="10" t="s">
        <v>215</v>
      </c>
    </row>
    <row r="6" customFormat="false" ht="15" hidden="false" customHeight="false" outlineLevel="0" collapsed="false">
      <c r="A6" s="11" t="n">
        <v>0.25</v>
      </c>
      <c r="B6" s="11" t="n">
        <v>0.2</v>
      </c>
      <c r="C6" s="11" t="n">
        <v>0.2</v>
      </c>
      <c r="D6" s="11" t="n">
        <v>0.15</v>
      </c>
      <c r="E6" s="11" t="n">
        <v>0.12</v>
      </c>
      <c r="F6" s="11" t="n">
        <v>0.08</v>
      </c>
      <c r="G6" s="12" t="n">
        <f aca="false">SUM(A6:F6)</f>
        <v>1</v>
      </c>
    </row>
    <row r="7" customFormat="false" ht="15" hidden="false" customHeight="false" outlineLevel="0" collapsed="false">
      <c r="A7" s="2" t="s">
        <v>216</v>
      </c>
    </row>
    <row r="9" customFormat="false" ht="39.75" hidden="false" customHeight="true" outlineLevel="0" collapsed="false">
      <c r="A9" s="3" t="s">
        <v>2</v>
      </c>
      <c r="B9" s="3" t="s">
        <v>217</v>
      </c>
      <c r="C9" s="3" t="s">
        <v>218</v>
      </c>
      <c r="D9" s="3" t="s">
        <v>5</v>
      </c>
      <c r="E9" s="3" t="s">
        <v>219</v>
      </c>
      <c r="F9" s="3" t="s">
        <v>220</v>
      </c>
      <c r="G9" s="3" t="s">
        <v>221</v>
      </c>
      <c r="H9" s="3" t="s">
        <v>222</v>
      </c>
      <c r="I9" s="3" t="s">
        <v>223</v>
      </c>
      <c r="J9" s="3" t="s">
        <v>224</v>
      </c>
      <c r="K9" s="3" t="s">
        <v>225</v>
      </c>
      <c r="L9" s="3" t="s">
        <v>214</v>
      </c>
      <c r="M9" s="3" t="s">
        <v>226</v>
      </c>
      <c r="N9" s="3" t="s">
        <v>227</v>
      </c>
      <c r="O9" s="3" t="s">
        <v>228</v>
      </c>
    </row>
    <row r="10" customFormat="false" ht="55.5" hidden="false" customHeight="true" outlineLevel="0" collapsed="false">
      <c r="A10" s="5" t="n">
        <v>1</v>
      </c>
      <c r="B10" s="5" t="s">
        <v>229</v>
      </c>
      <c r="C10" s="5" t="s">
        <v>230</v>
      </c>
      <c r="D10" s="5" t="s">
        <v>231</v>
      </c>
      <c r="E10" s="5" t="s">
        <v>232</v>
      </c>
      <c r="F10" s="5" t="s">
        <v>19</v>
      </c>
      <c r="G10" s="13" t="n">
        <v>9</v>
      </c>
      <c r="H10" s="13" t="n">
        <v>10</v>
      </c>
      <c r="I10" s="13" t="n">
        <v>8</v>
      </c>
      <c r="J10" s="13" t="n">
        <v>9</v>
      </c>
      <c r="K10" s="13" t="n">
        <v>9</v>
      </c>
      <c r="L10" s="13" t="n">
        <v>8</v>
      </c>
      <c r="M10" s="14" t="n">
        <f aca="false">G10*$A$6+H10*$B$6+I10*$C$6+J10*$D$6+K10*$E$6+L10*$F$6</f>
        <v>8.92</v>
      </c>
      <c r="N10" s="15" t="s">
        <v>233</v>
      </c>
      <c r="O10" s="5" t="s">
        <v>234</v>
      </c>
    </row>
    <row r="11" customFormat="false" ht="55.5" hidden="false" customHeight="true" outlineLevel="0" collapsed="false">
      <c r="A11" s="5" t="n">
        <v>2</v>
      </c>
      <c r="B11" s="5" t="s">
        <v>235</v>
      </c>
      <c r="C11" s="5" t="s">
        <v>230</v>
      </c>
      <c r="D11" s="5" t="s">
        <v>236</v>
      </c>
      <c r="E11" s="5" t="s">
        <v>237</v>
      </c>
      <c r="F11" s="5" t="s">
        <v>19</v>
      </c>
      <c r="G11" s="13" t="n">
        <v>10</v>
      </c>
      <c r="H11" s="13" t="n">
        <v>7</v>
      </c>
      <c r="I11" s="13" t="n">
        <v>6</v>
      </c>
      <c r="J11" s="13" t="n">
        <v>10</v>
      </c>
      <c r="K11" s="13" t="n">
        <v>8</v>
      </c>
      <c r="L11" s="13" t="n">
        <v>9</v>
      </c>
      <c r="M11" s="14" t="n">
        <f aca="false">G11*$A$6+H11*$B$6+I11*$C$6+J11*$D$6+K11*$E$6+L11*$F$6</f>
        <v>8.28</v>
      </c>
      <c r="N11" s="15" t="s">
        <v>233</v>
      </c>
      <c r="O11" s="5" t="s">
        <v>238</v>
      </c>
    </row>
    <row r="12" customFormat="false" ht="55.5" hidden="false" customHeight="true" outlineLevel="0" collapsed="false">
      <c r="A12" s="5" t="n">
        <v>3</v>
      </c>
      <c r="B12" s="5" t="s">
        <v>239</v>
      </c>
      <c r="C12" s="5" t="s">
        <v>230</v>
      </c>
      <c r="D12" s="5" t="s">
        <v>240</v>
      </c>
      <c r="E12" s="5" t="s">
        <v>241</v>
      </c>
      <c r="F12" s="5" t="s">
        <v>19</v>
      </c>
      <c r="G12" s="13" t="n">
        <v>10</v>
      </c>
      <c r="H12" s="13" t="n">
        <v>8</v>
      </c>
      <c r="I12" s="13" t="n">
        <v>8</v>
      </c>
      <c r="J12" s="13" t="n">
        <v>8</v>
      </c>
      <c r="K12" s="13" t="n">
        <v>9</v>
      </c>
      <c r="L12" s="13" t="n">
        <v>7</v>
      </c>
      <c r="M12" s="14" t="n">
        <f aca="false">G12*$A$6+H12*$B$6+I12*$C$6+J12*$D$6+K12*$E$6+L12*$F$6</f>
        <v>8.54</v>
      </c>
      <c r="N12" s="15" t="s">
        <v>233</v>
      </c>
      <c r="O12" s="5" t="s">
        <v>242</v>
      </c>
    </row>
    <row r="13" customFormat="false" ht="55.5" hidden="false" customHeight="true" outlineLevel="0" collapsed="false">
      <c r="A13" s="5" t="n">
        <v>4</v>
      </c>
      <c r="B13" s="5" t="s">
        <v>243</v>
      </c>
      <c r="C13" s="5" t="s">
        <v>230</v>
      </c>
      <c r="D13" s="5" t="s">
        <v>244</v>
      </c>
      <c r="E13" s="5" t="s">
        <v>245</v>
      </c>
      <c r="F13" s="5" t="s">
        <v>44</v>
      </c>
      <c r="G13" s="13" t="n">
        <v>9</v>
      </c>
      <c r="H13" s="13" t="n">
        <v>8</v>
      </c>
      <c r="I13" s="13" t="n">
        <v>8</v>
      </c>
      <c r="J13" s="13" t="n">
        <v>8</v>
      </c>
      <c r="K13" s="13" t="n">
        <v>8</v>
      </c>
      <c r="L13" s="13" t="n">
        <v>8</v>
      </c>
      <c r="M13" s="14" t="n">
        <f aca="false">G13*$A$6+H13*$B$6+I13*$C$6+J13*$D$6+K13*$E$6+L13*$F$6</f>
        <v>8.25</v>
      </c>
      <c r="N13" s="15" t="s">
        <v>246</v>
      </c>
      <c r="O13" s="5" t="s">
        <v>247</v>
      </c>
    </row>
    <row r="14" customFormat="false" ht="55.5" hidden="false" customHeight="true" outlineLevel="0" collapsed="false">
      <c r="A14" s="5" t="n">
        <v>5</v>
      </c>
      <c r="B14" s="5" t="s">
        <v>248</v>
      </c>
      <c r="C14" s="5" t="s">
        <v>230</v>
      </c>
      <c r="D14" s="5" t="s">
        <v>249</v>
      </c>
      <c r="E14" s="5" t="s">
        <v>250</v>
      </c>
      <c r="F14" s="5" t="s">
        <v>19</v>
      </c>
      <c r="G14" s="13" t="n">
        <v>9</v>
      </c>
      <c r="H14" s="13" t="n">
        <v>6</v>
      </c>
      <c r="I14" s="13" t="n">
        <v>8</v>
      </c>
      <c r="J14" s="13" t="n">
        <v>8</v>
      </c>
      <c r="K14" s="13" t="n">
        <v>9</v>
      </c>
      <c r="L14" s="13" t="n">
        <v>6</v>
      </c>
      <c r="M14" s="14" t="n">
        <f aca="false">G14*$A$6+H14*$B$6+I14*$C$6+J14*$D$6+K14*$E$6+L14*$F$6</f>
        <v>7.81</v>
      </c>
      <c r="N14" s="15" t="s">
        <v>246</v>
      </c>
      <c r="O14" s="5" t="s">
        <v>251</v>
      </c>
    </row>
    <row r="15" customFormat="false" ht="55.5" hidden="false" customHeight="true" outlineLevel="0" collapsed="false">
      <c r="A15" s="5" t="n">
        <v>6</v>
      </c>
      <c r="B15" s="5" t="s">
        <v>252</v>
      </c>
      <c r="C15" s="5" t="s">
        <v>230</v>
      </c>
      <c r="D15" s="5" t="s">
        <v>253</v>
      </c>
      <c r="E15" s="5" t="s">
        <v>254</v>
      </c>
      <c r="F15" s="5" t="s">
        <v>19</v>
      </c>
      <c r="G15" s="13" t="n">
        <v>9</v>
      </c>
      <c r="H15" s="13" t="n">
        <v>6</v>
      </c>
      <c r="I15" s="13" t="n">
        <v>7</v>
      </c>
      <c r="J15" s="13" t="n">
        <v>9</v>
      </c>
      <c r="K15" s="13" t="n">
        <v>10</v>
      </c>
      <c r="L15" s="13" t="n">
        <v>8</v>
      </c>
      <c r="M15" s="14" t="n">
        <f aca="false">G15*$A$6+H15*$B$6+I15*$C$6+J15*$D$6+K15*$E$6+L15*$F$6</f>
        <v>8.04</v>
      </c>
      <c r="N15" s="15" t="s">
        <v>246</v>
      </c>
      <c r="O15" s="5" t="s">
        <v>255</v>
      </c>
    </row>
    <row r="16" customFormat="false" ht="55.5" hidden="false" customHeight="true" outlineLevel="0" collapsed="false">
      <c r="A16" s="5" t="n">
        <v>7</v>
      </c>
      <c r="B16" s="5" t="s">
        <v>256</v>
      </c>
      <c r="C16" s="5" t="s">
        <v>230</v>
      </c>
      <c r="D16" s="5" t="s">
        <v>257</v>
      </c>
      <c r="E16" s="5" t="s">
        <v>258</v>
      </c>
      <c r="F16" s="5" t="s">
        <v>19</v>
      </c>
      <c r="G16" s="13" t="n">
        <v>8</v>
      </c>
      <c r="H16" s="13" t="n">
        <v>8</v>
      </c>
      <c r="I16" s="13" t="n">
        <v>6</v>
      </c>
      <c r="J16" s="13" t="n">
        <v>9</v>
      </c>
      <c r="K16" s="13" t="n">
        <v>10</v>
      </c>
      <c r="L16" s="13" t="n">
        <v>8</v>
      </c>
      <c r="M16" s="14" t="n">
        <f aca="false">G16*$A$6+H16*$B$6+I16*$C$6+J16*$D$6+K16*$E$6+L16*$F$6</f>
        <v>7.99</v>
      </c>
      <c r="N16" s="15" t="s">
        <v>246</v>
      </c>
      <c r="O16" s="5" t="s">
        <v>259</v>
      </c>
    </row>
    <row r="17" customFormat="false" ht="55.5" hidden="false" customHeight="true" outlineLevel="0" collapsed="false">
      <c r="A17" s="5" t="n">
        <v>8</v>
      </c>
      <c r="B17" s="5" t="s">
        <v>260</v>
      </c>
      <c r="C17" s="5" t="s">
        <v>230</v>
      </c>
      <c r="D17" s="5" t="s">
        <v>124</v>
      </c>
      <c r="E17" s="5" t="s">
        <v>261</v>
      </c>
      <c r="F17" s="5" t="s">
        <v>19</v>
      </c>
      <c r="G17" s="13" t="n">
        <v>8</v>
      </c>
      <c r="H17" s="13" t="n">
        <v>9</v>
      </c>
      <c r="I17" s="13" t="n">
        <v>9</v>
      </c>
      <c r="J17" s="13" t="n">
        <v>6</v>
      </c>
      <c r="K17" s="13" t="n">
        <v>6</v>
      </c>
      <c r="L17" s="13" t="n">
        <v>5</v>
      </c>
      <c r="M17" s="14" t="n">
        <f aca="false">G17*$A$6+H17*$B$6+I17*$C$6+J17*$D$6+K17*$E$6+L17*$F$6</f>
        <v>7.62</v>
      </c>
      <c r="N17" s="16" t="s">
        <v>262</v>
      </c>
      <c r="O17" s="5" t="s">
        <v>263</v>
      </c>
    </row>
    <row r="18" customFormat="false" ht="55.5" hidden="false" customHeight="true" outlineLevel="0" collapsed="false">
      <c r="A18" s="5" t="n">
        <v>9</v>
      </c>
      <c r="B18" s="5" t="s">
        <v>264</v>
      </c>
      <c r="C18" s="5" t="s">
        <v>230</v>
      </c>
      <c r="D18" s="5" t="s">
        <v>149</v>
      </c>
      <c r="E18" s="5" t="s">
        <v>265</v>
      </c>
      <c r="F18" s="5" t="s">
        <v>19</v>
      </c>
      <c r="G18" s="13" t="n">
        <v>8</v>
      </c>
      <c r="H18" s="13" t="n">
        <v>8</v>
      </c>
      <c r="I18" s="13" t="n">
        <v>7</v>
      </c>
      <c r="J18" s="13" t="n">
        <v>6</v>
      </c>
      <c r="K18" s="13" t="n">
        <v>5</v>
      </c>
      <c r="L18" s="13" t="n">
        <v>6</v>
      </c>
      <c r="M18" s="14" t="n">
        <f aca="false">G18*$A$6+H18*$B$6+I18*$C$6+J18*$D$6+K18*$E$6+L18*$F$6</f>
        <v>6.98</v>
      </c>
      <c r="N18" s="16" t="s">
        <v>262</v>
      </c>
      <c r="O18" s="5" t="s">
        <v>266</v>
      </c>
    </row>
    <row r="19" customFormat="false" ht="55.5" hidden="false" customHeight="true" outlineLevel="0" collapsed="false">
      <c r="A19" s="5" t="n">
        <v>10</v>
      </c>
      <c r="B19" s="5" t="s">
        <v>267</v>
      </c>
      <c r="C19" s="5" t="s">
        <v>230</v>
      </c>
      <c r="D19" s="5" t="s">
        <v>157</v>
      </c>
      <c r="E19" s="5" t="s">
        <v>268</v>
      </c>
      <c r="F19" s="5" t="s">
        <v>19</v>
      </c>
      <c r="G19" s="13" t="n">
        <v>7</v>
      </c>
      <c r="H19" s="13" t="n">
        <v>8</v>
      </c>
      <c r="I19" s="13" t="n">
        <v>6</v>
      </c>
      <c r="J19" s="13" t="n">
        <v>6</v>
      </c>
      <c r="K19" s="13" t="n">
        <v>5</v>
      </c>
      <c r="L19" s="13" t="n">
        <v>7</v>
      </c>
      <c r="M19" s="14" t="n">
        <f aca="false">G19*$A$6+H19*$B$6+I19*$C$6+J19*$D$6+K19*$E$6+L19*$F$6</f>
        <v>6.61</v>
      </c>
      <c r="N19" s="16" t="s">
        <v>262</v>
      </c>
      <c r="O19" s="5" t="s">
        <v>269</v>
      </c>
    </row>
    <row r="20" customFormat="false" ht="55.5" hidden="false" customHeight="true" outlineLevel="0" collapsed="false">
      <c r="A20" s="5" t="n">
        <v>11</v>
      </c>
      <c r="B20" s="5" t="s">
        <v>270</v>
      </c>
      <c r="C20" s="5" t="s">
        <v>230</v>
      </c>
      <c r="D20" s="5" t="s">
        <v>271</v>
      </c>
      <c r="E20" s="5" t="s">
        <v>272</v>
      </c>
      <c r="F20" s="5" t="s">
        <v>19</v>
      </c>
      <c r="G20" s="13" t="n">
        <v>7</v>
      </c>
      <c r="H20" s="13" t="n">
        <v>7</v>
      </c>
      <c r="I20" s="13" t="n">
        <v>7</v>
      </c>
      <c r="J20" s="13" t="n">
        <v>7</v>
      </c>
      <c r="K20" s="13" t="n">
        <v>6</v>
      </c>
      <c r="L20" s="13" t="n">
        <v>5</v>
      </c>
      <c r="M20" s="14" t="n">
        <f aca="false">G20*$A$6+H20*$B$6+I20*$C$6+J20*$D$6+K20*$E$6+L20*$F$6</f>
        <v>6.72</v>
      </c>
      <c r="N20" s="16" t="s">
        <v>273</v>
      </c>
      <c r="O20" s="5" t="s">
        <v>274</v>
      </c>
    </row>
    <row r="21" customFormat="false" ht="55.5" hidden="false" customHeight="true" outlineLevel="0" collapsed="false">
      <c r="A21" s="5" t="n">
        <v>12</v>
      </c>
      <c r="B21" s="5" t="s">
        <v>275</v>
      </c>
      <c r="C21" s="5" t="s">
        <v>230</v>
      </c>
      <c r="D21" s="5" t="s">
        <v>276</v>
      </c>
      <c r="E21" s="5" t="s">
        <v>277</v>
      </c>
      <c r="F21" s="5" t="s">
        <v>19</v>
      </c>
      <c r="G21" s="13" t="n">
        <v>8</v>
      </c>
      <c r="H21" s="13" t="n">
        <v>7</v>
      </c>
      <c r="I21" s="13" t="n">
        <v>6</v>
      </c>
      <c r="J21" s="13" t="n">
        <v>8</v>
      </c>
      <c r="K21" s="13" t="n">
        <v>7</v>
      </c>
      <c r="L21" s="13" t="n">
        <v>8</v>
      </c>
      <c r="M21" s="14" t="n">
        <f aca="false">G21*$A$6+H21*$B$6+I21*$C$6+J21*$D$6+K21*$E$6+L21*$F$6</f>
        <v>7.28</v>
      </c>
      <c r="N21" s="16" t="s">
        <v>273</v>
      </c>
      <c r="O21" s="5" t="s">
        <v>278</v>
      </c>
    </row>
    <row r="22" customFormat="false" ht="55.5" hidden="false" customHeight="true" outlineLevel="0" collapsed="false">
      <c r="A22" s="5" t="n">
        <v>13</v>
      </c>
      <c r="B22" s="5" t="s">
        <v>279</v>
      </c>
      <c r="C22" s="5" t="s">
        <v>230</v>
      </c>
      <c r="D22" s="5" t="s">
        <v>280</v>
      </c>
      <c r="E22" s="5" t="s">
        <v>281</v>
      </c>
      <c r="F22" s="5" t="s">
        <v>19</v>
      </c>
      <c r="G22" s="13" t="n">
        <v>9</v>
      </c>
      <c r="H22" s="13" t="n">
        <v>7</v>
      </c>
      <c r="I22" s="13" t="n">
        <v>6</v>
      </c>
      <c r="J22" s="13" t="n">
        <v>8</v>
      </c>
      <c r="K22" s="13" t="n">
        <v>7</v>
      </c>
      <c r="L22" s="13" t="n">
        <v>9</v>
      </c>
      <c r="M22" s="14" t="n">
        <f aca="false">G22*$A$6+H22*$B$6+I22*$C$6+J22*$D$6+K22*$E$6+L22*$F$6</f>
        <v>7.61</v>
      </c>
      <c r="N22" s="16" t="s">
        <v>273</v>
      </c>
      <c r="O22" s="5" t="s">
        <v>282</v>
      </c>
    </row>
    <row r="23" customFormat="false" ht="55.5" hidden="false" customHeight="true" outlineLevel="0" collapsed="false">
      <c r="A23" s="5" t="n">
        <v>14</v>
      </c>
      <c r="B23" s="5" t="s">
        <v>283</v>
      </c>
      <c r="C23" s="5" t="s">
        <v>44</v>
      </c>
      <c r="D23" s="5" t="s">
        <v>284</v>
      </c>
      <c r="E23" s="5" t="s">
        <v>285</v>
      </c>
      <c r="F23" s="5" t="s">
        <v>19</v>
      </c>
      <c r="G23" s="13" t="n">
        <v>8</v>
      </c>
      <c r="H23" s="13" t="n">
        <v>8</v>
      </c>
      <c r="I23" s="13" t="n">
        <v>6</v>
      </c>
      <c r="J23" s="13" t="n">
        <v>8</v>
      </c>
      <c r="K23" s="13" t="n">
        <v>9</v>
      </c>
      <c r="L23" s="13" t="n">
        <v>7</v>
      </c>
      <c r="M23" s="14" t="n">
        <f aca="false">G23*$A$6+H23*$B$6+I23*$C$6+J23*$D$6+K23*$E$6+L23*$F$6</f>
        <v>7.64</v>
      </c>
      <c r="N23" s="16" t="s">
        <v>273</v>
      </c>
      <c r="O23" s="5" t="s">
        <v>286</v>
      </c>
    </row>
    <row r="24" customFormat="false" ht="55.5" hidden="false" customHeight="true" outlineLevel="0" collapsed="false">
      <c r="A24" s="5" t="n">
        <v>15</v>
      </c>
      <c r="B24" s="5" t="s">
        <v>287</v>
      </c>
      <c r="C24" s="5" t="s">
        <v>44</v>
      </c>
      <c r="D24" s="5" t="s">
        <v>288</v>
      </c>
      <c r="E24" s="5" t="s">
        <v>289</v>
      </c>
      <c r="F24" s="5" t="s">
        <v>19</v>
      </c>
      <c r="G24" s="13" t="n">
        <v>8</v>
      </c>
      <c r="H24" s="13" t="n">
        <v>7</v>
      </c>
      <c r="I24" s="13" t="n">
        <v>8</v>
      </c>
      <c r="J24" s="13" t="n">
        <v>7</v>
      </c>
      <c r="K24" s="13" t="n">
        <v>9</v>
      </c>
      <c r="L24" s="13" t="n">
        <v>8</v>
      </c>
      <c r="M24" s="14" t="n">
        <f aca="false">G24*$A$6+H24*$B$6+I24*$C$6+J24*$D$6+K24*$E$6+L24*$F$6</f>
        <v>7.77</v>
      </c>
      <c r="N24" s="16" t="s">
        <v>273</v>
      </c>
      <c r="O24" s="5" t="s">
        <v>290</v>
      </c>
    </row>
    <row r="25" customFormat="false" ht="55.5" hidden="false" customHeight="true" outlineLevel="0" collapsed="false">
      <c r="A25" s="5" t="n">
        <v>16</v>
      </c>
      <c r="B25" s="5" t="s">
        <v>291</v>
      </c>
      <c r="C25" s="5" t="s">
        <v>230</v>
      </c>
      <c r="D25" s="5" t="s">
        <v>292</v>
      </c>
      <c r="E25" s="5" t="s">
        <v>293</v>
      </c>
      <c r="F25" s="5" t="s">
        <v>19</v>
      </c>
      <c r="G25" s="13" t="n">
        <v>7</v>
      </c>
      <c r="H25" s="13" t="n">
        <v>8</v>
      </c>
      <c r="I25" s="13" t="n">
        <v>8</v>
      </c>
      <c r="J25" s="13" t="n">
        <v>5</v>
      </c>
      <c r="K25" s="13" t="n">
        <v>5</v>
      </c>
      <c r="L25" s="13" t="n">
        <v>7</v>
      </c>
      <c r="M25" s="14" t="n">
        <f aca="false">G25*$A$6+H25*$B$6+I25*$C$6+J25*$D$6+K25*$E$6+L25*$F$6</f>
        <v>6.86</v>
      </c>
      <c r="N25" s="16" t="s">
        <v>273</v>
      </c>
      <c r="O25" s="5" t="s">
        <v>294</v>
      </c>
    </row>
    <row r="26" customFormat="false" ht="55.5" hidden="false" customHeight="true" outlineLevel="0" collapsed="false">
      <c r="A26" s="5" t="n">
        <v>17</v>
      </c>
      <c r="B26" s="5" t="s">
        <v>295</v>
      </c>
      <c r="C26" s="5" t="s">
        <v>230</v>
      </c>
      <c r="D26" s="5" t="s">
        <v>296</v>
      </c>
      <c r="E26" s="5" t="s">
        <v>297</v>
      </c>
      <c r="F26" s="5" t="s">
        <v>19</v>
      </c>
      <c r="G26" s="13" t="n">
        <v>6</v>
      </c>
      <c r="H26" s="13" t="n">
        <v>7</v>
      </c>
      <c r="I26" s="13" t="n">
        <v>6</v>
      </c>
      <c r="J26" s="13" t="n">
        <v>7</v>
      </c>
      <c r="K26" s="13" t="n">
        <v>5</v>
      </c>
      <c r="L26" s="13" t="n">
        <v>7</v>
      </c>
      <c r="M26" s="14" t="n">
        <f aca="false">G26*$A$6+H26*$B$6+I26*$C$6+J26*$D$6+K26*$E$6+L26*$F$6</f>
        <v>6.31</v>
      </c>
      <c r="N26" s="16" t="s">
        <v>298</v>
      </c>
      <c r="O26" s="5" t="s">
        <v>299</v>
      </c>
    </row>
    <row r="27" customFormat="false" ht="55.5" hidden="false" customHeight="true" outlineLevel="0" collapsed="false">
      <c r="A27" s="5" t="n">
        <v>18</v>
      </c>
      <c r="B27" s="5" t="s">
        <v>300</v>
      </c>
      <c r="C27" s="5" t="s">
        <v>230</v>
      </c>
      <c r="D27" s="5" t="s">
        <v>301</v>
      </c>
      <c r="E27" s="5" t="s">
        <v>302</v>
      </c>
      <c r="F27" s="8" t="s">
        <v>303</v>
      </c>
      <c r="G27" s="13" t="n">
        <v>3</v>
      </c>
      <c r="H27" s="13" t="n">
        <v>6</v>
      </c>
      <c r="I27" s="13" t="n">
        <v>7</v>
      </c>
      <c r="J27" s="13" t="n">
        <v>4</v>
      </c>
      <c r="K27" s="13" t="n">
        <v>4</v>
      </c>
      <c r="L27" s="13" t="n">
        <v>2</v>
      </c>
      <c r="M27" s="14" t="n">
        <f aca="false">G27*$A$6+H27*$B$6+I27*$C$6+J27*$D$6+K27*$E$6+L27*$F$6</f>
        <v>4.59</v>
      </c>
      <c r="N27" s="17" t="s">
        <v>304</v>
      </c>
      <c r="O27" s="5" t="s">
        <v>305</v>
      </c>
    </row>
    <row r="28" customFormat="false" ht="55.5" hidden="false" customHeight="true" outlineLevel="0" collapsed="false">
      <c r="A28" s="5" t="n">
        <v>19</v>
      </c>
      <c r="B28" s="5" t="s">
        <v>306</v>
      </c>
      <c r="C28" s="5" t="s">
        <v>230</v>
      </c>
      <c r="D28" s="5" t="s">
        <v>307</v>
      </c>
      <c r="E28" s="5" t="s">
        <v>308</v>
      </c>
      <c r="F28" s="8" t="s">
        <v>303</v>
      </c>
      <c r="G28" s="13" t="n">
        <v>3</v>
      </c>
      <c r="H28" s="13" t="n">
        <v>7</v>
      </c>
      <c r="I28" s="13" t="n">
        <v>7</v>
      </c>
      <c r="J28" s="13" t="n">
        <v>5</v>
      </c>
      <c r="K28" s="13" t="n">
        <v>4</v>
      </c>
      <c r="L28" s="13" t="n">
        <v>2</v>
      </c>
      <c r="M28" s="14" t="n">
        <f aca="false">G28*$A$6+H28*$B$6+I28*$C$6+J28*$D$6+K28*$E$6+L28*$F$6</f>
        <v>4.94</v>
      </c>
      <c r="N28" s="17" t="s">
        <v>304</v>
      </c>
      <c r="O28" s="5" t="s">
        <v>309</v>
      </c>
    </row>
    <row r="29" customFormat="false" ht="55.5" hidden="false" customHeight="true" outlineLevel="0" collapsed="false">
      <c r="A29" s="5" t="n">
        <v>20</v>
      </c>
      <c r="B29" s="5" t="s">
        <v>310</v>
      </c>
      <c r="C29" s="5" t="s">
        <v>230</v>
      </c>
      <c r="D29" s="5" t="s">
        <v>311</v>
      </c>
      <c r="E29" s="5" t="s">
        <v>312</v>
      </c>
      <c r="F29" s="8" t="s">
        <v>303</v>
      </c>
      <c r="G29" s="13" t="n">
        <v>3</v>
      </c>
      <c r="H29" s="13" t="n">
        <v>6</v>
      </c>
      <c r="I29" s="13" t="n">
        <v>7</v>
      </c>
      <c r="J29" s="13" t="n">
        <v>5</v>
      </c>
      <c r="K29" s="13" t="n">
        <v>4</v>
      </c>
      <c r="L29" s="13" t="n">
        <v>2</v>
      </c>
      <c r="M29" s="14" t="n">
        <f aca="false">G29*$A$6+H29*$B$6+I29*$C$6+J29*$D$6+K29*$E$6+L29*$F$6</f>
        <v>4.74</v>
      </c>
      <c r="N29" s="17" t="s">
        <v>304</v>
      </c>
      <c r="O29" s="5" t="s">
        <v>313</v>
      </c>
    </row>
    <row r="31" customFormat="false" ht="15" hidden="false" customHeight="false" outlineLevel="0" collapsed="false">
      <c r="A31" s="9" t="s">
        <v>203</v>
      </c>
    </row>
    <row r="32" customFormat="false" ht="15" hidden="false" customHeight="false" outlineLevel="0" collapsed="false">
      <c r="A32" s="2" t="s">
        <v>314</v>
      </c>
    </row>
    <row r="33" customFormat="false" ht="15" hidden="false" customHeight="false" outlineLevel="0" collapsed="false">
      <c r="A33" s="2" t="s">
        <v>315</v>
      </c>
    </row>
    <row r="34" customFormat="false" ht="15" hidden="false" customHeight="false" outlineLevel="0" collapsed="false">
      <c r="A34" s="2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58"/>
    <col collapsed="false" customWidth="true" hidden="false" outlineLevel="0" max="5" min="5" style="0" width="24"/>
    <col collapsed="false" customWidth="true" hidden="false" outlineLevel="0" max="7" min="6" style="0" width="11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1" t="s">
        <v>317</v>
      </c>
    </row>
    <row r="2" customFormat="false" ht="15" hidden="false" customHeight="false" outlineLevel="0" collapsed="false">
      <c r="A2" s="2" t="s">
        <v>318</v>
      </c>
    </row>
    <row r="4" customFormat="false" ht="31.5" hidden="false" customHeight="true" outlineLevel="0" collapsed="false">
      <c r="A4" s="3" t="s">
        <v>319</v>
      </c>
      <c r="B4" s="3" t="s">
        <v>320</v>
      </c>
      <c r="C4" s="3" t="s">
        <v>321</v>
      </c>
      <c r="D4" s="3" t="s">
        <v>322</v>
      </c>
      <c r="E4" s="3" t="s">
        <v>323</v>
      </c>
      <c r="F4" s="3" t="s">
        <v>324</v>
      </c>
      <c r="G4" s="3" t="s">
        <v>325</v>
      </c>
      <c r="H4" s="3" t="s">
        <v>326</v>
      </c>
    </row>
    <row r="5" customFormat="false" ht="33.75" hidden="false" customHeight="true" outlineLevel="0" collapsed="false">
      <c r="A5" s="5" t="n">
        <v>0</v>
      </c>
      <c r="B5" s="5" t="s">
        <v>327</v>
      </c>
      <c r="C5" s="5" t="s">
        <v>328</v>
      </c>
      <c r="D5" s="5" t="s">
        <v>329</v>
      </c>
      <c r="E5" s="18" t="s">
        <v>330</v>
      </c>
      <c r="F5" s="19" t="n">
        <v>0.05</v>
      </c>
      <c r="G5" s="20" t="n">
        <v>0.05</v>
      </c>
      <c r="H5" s="21"/>
    </row>
    <row r="6" customFormat="false" ht="33.75" hidden="false" customHeight="true" outlineLevel="0" collapsed="false">
      <c r="A6" s="5" t="n">
        <v>1</v>
      </c>
      <c r="B6" s="5" t="s">
        <v>327</v>
      </c>
      <c r="C6" s="5" t="s">
        <v>331</v>
      </c>
      <c r="D6" s="5" t="s">
        <v>332</v>
      </c>
      <c r="E6" s="5"/>
      <c r="F6" s="19" t="n">
        <v>0.08</v>
      </c>
      <c r="G6" s="20"/>
      <c r="H6" s="21"/>
    </row>
    <row r="7" customFormat="false" ht="33.75" hidden="false" customHeight="true" outlineLevel="0" collapsed="false">
      <c r="A7" s="5" t="n">
        <v>2</v>
      </c>
      <c r="B7" s="5" t="s">
        <v>333</v>
      </c>
      <c r="C7" s="5" t="s">
        <v>334</v>
      </c>
      <c r="D7" s="5" t="s">
        <v>335</v>
      </c>
      <c r="E7" s="5"/>
      <c r="F7" s="19" t="n">
        <v>0.12</v>
      </c>
      <c r="G7" s="20"/>
      <c r="H7" s="21"/>
    </row>
    <row r="8" customFormat="false" ht="33.75" hidden="false" customHeight="true" outlineLevel="0" collapsed="false">
      <c r="A8" s="5" t="n">
        <v>3</v>
      </c>
      <c r="B8" s="5" t="s">
        <v>336</v>
      </c>
      <c r="C8" s="5" t="s">
        <v>337</v>
      </c>
      <c r="D8" s="5" t="s">
        <v>338</v>
      </c>
      <c r="E8" s="18" t="s">
        <v>339</v>
      </c>
      <c r="F8" s="19" t="n">
        <v>0.15</v>
      </c>
      <c r="G8" s="20"/>
      <c r="H8" s="21"/>
    </row>
    <row r="9" customFormat="false" ht="33.75" hidden="false" customHeight="true" outlineLevel="0" collapsed="false">
      <c r="A9" s="5" t="n">
        <v>4</v>
      </c>
      <c r="B9" s="5" t="s">
        <v>340</v>
      </c>
      <c r="C9" s="5" t="s">
        <v>341</v>
      </c>
      <c r="D9" s="5" t="s">
        <v>342</v>
      </c>
      <c r="E9" s="5"/>
      <c r="F9" s="19" t="n">
        <v>0.2</v>
      </c>
      <c r="G9" s="20"/>
      <c r="H9" s="21"/>
    </row>
    <row r="10" customFormat="false" ht="33.75" hidden="false" customHeight="true" outlineLevel="0" collapsed="false">
      <c r="A10" s="5" t="n">
        <v>5</v>
      </c>
      <c r="B10" s="5" t="s">
        <v>343</v>
      </c>
      <c r="C10" s="5" t="s">
        <v>344</v>
      </c>
      <c r="D10" s="5" t="s">
        <v>345</v>
      </c>
      <c r="E10" s="18" t="s">
        <v>346</v>
      </c>
      <c r="F10" s="19" t="n">
        <v>0.25</v>
      </c>
      <c r="G10" s="20"/>
      <c r="H10" s="21"/>
    </row>
    <row r="11" customFormat="false" ht="33.75" hidden="false" customHeight="true" outlineLevel="0" collapsed="false">
      <c r="A11" s="5" t="n">
        <v>6</v>
      </c>
      <c r="B11" s="5" t="s">
        <v>347</v>
      </c>
      <c r="C11" s="5" t="s">
        <v>348</v>
      </c>
      <c r="D11" s="5" t="s">
        <v>349</v>
      </c>
      <c r="E11" s="5"/>
      <c r="F11" s="19" t="n">
        <v>0.33</v>
      </c>
      <c r="G11" s="20"/>
      <c r="H11" s="21"/>
    </row>
    <row r="12" customFormat="false" ht="33.75" hidden="false" customHeight="true" outlineLevel="0" collapsed="false">
      <c r="A12" s="5" t="n">
        <v>7</v>
      </c>
      <c r="B12" s="5" t="s">
        <v>350</v>
      </c>
      <c r="C12" s="5" t="s">
        <v>348</v>
      </c>
      <c r="D12" s="5" t="s">
        <v>351</v>
      </c>
      <c r="E12" s="5"/>
      <c r="F12" s="19" t="n">
        <v>0.4</v>
      </c>
      <c r="G12" s="20"/>
      <c r="H12" s="21"/>
    </row>
    <row r="13" customFormat="false" ht="33.75" hidden="false" customHeight="true" outlineLevel="0" collapsed="false">
      <c r="A13" s="5" t="n">
        <v>8</v>
      </c>
      <c r="B13" s="5" t="s">
        <v>352</v>
      </c>
      <c r="C13" s="5" t="s">
        <v>353</v>
      </c>
      <c r="D13" s="5" t="s">
        <v>354</v>
      </c>
      <c r="E13" s="5"/>
      <c r="F13" s="19" t="n">
        <v>0.47</v>
      </c>
      <c r="G13" s="20"/>
      <c r="H13" s="21"/>
    </row>
    <row r="14" customFormat="false" ht="33.75" hidden="false" customHeight="true" outlineLevel="0" collapsed="false">
      <c r="A14" s="5" t="n">
        <v>9</v>
      </c>
      <c r="B14" s="5" t="s">
        <v>355</v>
      </c>
      <c r="C14" s="5" t="s">
        <v>356</v>
      </c>
      <c r="D14" s="5" t="s">
        <v>357</v>
      </c>
      <c r="E14" s="5"/>
      <c r="F14" s="19" t="n">
        <v>0.54</v>
      </c>
      <c r="G14" s="20"/>
      <c r="H14" s="21"/>
    </row>
    <row r="15" customFormat="false" ht="33.75" hidden="false" customHeight="true" outlineLevel="0" collapsed="false">
      <c r="A15" s="5" t="n">
        <v>10</v>
      </c>
      <c r="B15" s="5" t="s">
        <v>358</v>
      </c>
      <c r="C15" s="5" t="s">
        <v>359</v>
      </c>
      <c r="D15" s="5" t="s">
        <v>360</v>
      </c>
      <c r="E15" s="18" t="s">
        <v>361</v>
      </c>
      <c r="F15" s="19" t="n">
        <v>0.6</v>
      </c>
      <c r="G15" s="20"/>
      <c r="H15" s="21"/>
    </row>
    <row r="16" customFormat="false" ht="33.75" hidden="false" customHeight="true" outlineLevel="0" collapsed="false">
      <c r="A16" s="5" t="n">
        <v>11</v>
      </c>
      <c r="B16" s="5" t="s">
        <v>362</v>
      </c>
      <c r="C16" s="5" t="s">
        <v>363</v>
      </c>
      <c r="D16" s="5" t="s">
        <v>364</v>
      </c>
      <c r="E16" s="5"/>
      <c r="F16" s="19" t="n">
        <v>0.7</v>
      </c>
      <c r="G16" s="20"/>
      <c r="H16" s="21"/>
    </row>
    <row r="17" customFormat="false" ht="33.75" hidden="false" customHeight="true" outlineLevel="0" collapsed="false">
      <c r="A17" s="5" t="n">
        <v>12</v>
      </c>
      <c r="B17" s="5" t="s">
        <v>365</v>
      </c>
      <c r="C17" s="5" t="s">
        <v>363</v>
      </c>
      <c r="D17" s="5" t="s">
        <v>366</v>
      </c>
      <c r="E17" s="5"/>
      <c r="F17" s="19" t="n">
        <v>0.78</v>
      </c>
      <c r="G17" s="20"/>
      <c r="H17" s="21"/>
    </row>
    <row r="18" customFormat="false" ht="33.75" hidden="false" customHeight="true" outlineLevel="0" collapsed="false">
      <c r="A18" s="5" t="n">
        <v>13</v>
      </c>
      <c r="B18" s="5" t="s">
        <v>367</v>
      </c>
      <c r="C18" s="5" t="s">
        <v>368</v>
      </c>
      <c r="D18" s="5" t="s">
        <v>369</v>
      </c>
      <c r="E18" s="18" t="s">
        <v>370</v>
      </c>
      <c r="F18" s="19" t="n">
        <v>0.85</v>
      </c>
      <c r="G18" s="20"/>
      <c r="H18" s="21"/>
    </row>
    <row r="19" customFormat="false" ht="33.75" hidden="false" customHeight="true" outlineLevel="0" collapsed="false">
      <c r="A19" s="5" t="n">
        <v>14</v>
      </c>
      <c r="B19" s="5" t="s">
        <v>371</v>
      </c>
      <c r="C19" s="5" t="s">
        <v>372</v>
      </c>
      <c r="D19" s="5" t="s">
        <v>373</v>
      </c>
      <c r="E19" s="5"/>
      <c r="F19" s="19" t="n">
        <v>0.92</v>
      </c>
      <c r="G19" s="20"/>
      <c r="H19" s="21"/>
    </row>
    <row r="20" customFormat="false" ht="33.75" hidden="false" customHeight="true" outlineLevel="0" collapsed="false">
      <c r="A20" s="5" t="n">
        <v>15</v>
      </c>
      <c r="B20" s="5" t="s">
        <v>374</v>
      </c>
      <c r="C20" s="5" t="s">
        <v>375</v>
      </c>
      <c r="D20" s="5" t="s">
        <v>376</v>
      </c>
      <c r="E20" s="5"/>
      <c r="F20" s="19" t="n">
        <v>0.97</v>
      </c>
      <c r="G20" s="20"/>
      <c r="H20" s="21"/>
    </row>
    <row r="21" customFormat="false" ht="33.75" hidden="false" customHeight="true" outlineLevel="0" collapsed="false">
      <c r="A21" s="5" t="n">
        <v>16</v>
      </c>
      <c r="B21" s="5" t="s">
        <v>377</v>
      </c>
      <c r="C21" s="5" t="s">
        <v>378</v>
      </c>
      <c r="D21" s="5" t="s">
        <v>379</v>
      </c>
      <c r="E21" s="18" t="s">
        <v>380</v>
      </c>
      <c r="F21" s="19" t="n">
        <v>1</v>
      </c>
      <c r="G21" s="20"/>
      <c r="H21" s="21"/>
    </row>
    <row r="23" customFormat="false" ht="17.35" hidden="false" customHeight="false" outlineLevel="0" collapsed="false">
      <c r="C23" s="9" t="s">
        <v>381</v>
      </c>
      <c r="G23" s="22" t="n">
        <f aca="false">IFERROR(MAX(G5:G21),0)</f>
        <v>0.05</v>
      </c>
    </row>
    <row r="24" customFormat="false" ht="15" hidden="false" customHeight="false" outlineLevel="0" collapsed="false">
      <c r="C24" s="9" t="s">
        <v>382</v>
      </c>
      <c r="G24" s="9" t="n">
        <f aca="false">COUNT(G5:G21)</f>
        <v>1</v>
      </c>
    </row>
    <row r="25" customFormat="false" ht="15" hidden="false" customHeight="false" outlineLevel="0" collapsed="false">
      <c r="C25" s="9" t="s">
        <v>383</v>
      </c>
      <c r="G25" s="9" t="str">
        <f aca="false">IF(COUNT(G5:G21)=0,"not started",IF(MAX(G5:G21)&gt;=INDEX(F5:F21,COUNT(G5:G21)),"ON TRACK","BEHIND — CUT SCOPE"))</f>
        <v>ON TRACK</v>
      </c>
    </row>
    <row r="27" customFormat="false" ht="15" hidden="false" customHeight="false" outlineLevel="0" collapsed="false">
      <c r="A27" s="9" t="s">
        <v>203</v>
      </c>
    </row>
    <row r="28" customFormat="false" ht="15" hidden="false" customHeight="false" outlineLevel="0" collapsed="false">
      <c r="A28" s="2" t="s">
        <v>384</v>
      </c>
    </row>
    <row r="29" customFormat="false" ht="15" hidden="false" customHeight="false" outlineLevel="0" collapsed="false">
      <c r="A29" s="2" t="s">
        <v>385</v>
      </c>
    </row>
    <row r="30" customFormat="false" ht="15" hidden="false" customHeight="false" outlineLevel="0" collapsed="false">
      <c r="A30" s="2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62"/>
    <col collapsed="false" customWidth="true" hidden="false" outlineLevel="0" max="5" min="5" style="0" width="26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387</v>
      </c>
    </row>
    <row r="2" customFormat="false" ht="15" hidden="false" customHeight="false" outlineLevel="0" collapsed="false">
      <c r="A2" s="2" t="s">
        <v>388</v>
      </c>
    </row>
    <row r="4" customFormat="false" ht="30" hidden="false" customHeight="true" outlineLevel="0" collapsed="false">
      <c r="A4" s="3" t="s">
        <v>2</v>
      </c>
      <c r="B4" s="3" t="s">
        <v>389</v>
      </c>
      <c r="C4" s="3" t="s">
        <v>320</v>
      </c>
      <c r="D4" s="3" t="s">
        <v>390</v>
      </c>
      <c r="E4" s="3" t="s">
        <v>391</v>
      </c>
      <c r="F4" s="3" t="s">
        <v>392</v>
      </c>
    </row>
    <row r="5" customFormat="false" ht="45.75" hidden="false" customHeight="true" outlineLevel="0" collapsed="false">
      <c r="A5" s="5" t="n">
        <v>1</v>
      </c>
      <c r="B5" s="5" t="s">
        <v>393</v>
      </c>
      <c r="C5" s="5" t="s">
        <v>394</v>
      </c>
      <c r="D5" s="5" t="s">
        <v>395</v>
      </c>
      <c r="E5" s="6" t="s">
        <v>396</v>
      </c>
      <c r="F5" s="5" t="s">
        <v>397</v>
      </c>
    </row>
    <row r="6" customFormat="false" ht="45.75" hidden="false" customHeight="true" outlineLevel="0" collapsed="false">
      <c r="A6" s="5" t="n">
        <v>2</v>
      </c>
      <c r="B6" s="5" t="s">
        <v>398</v>
      </c>
      <c r="C6" s="5" t="s">
        <v>399</v>
      </c>
      <c r="D6" s="5" t="s">
        <v>400</v>
      </c>
      <c r="E6" s="8" t="s">
        <v>401</v>
      </c>
      <c r="F6" s="5" t="s">
        <v>402</v>
      </c>
    </row>
    <row r="7" customFormat="false" ht="45.75" hidden="false" customHeight="true" outlineLevel="0" collapsed="false">
      <c r="A7" s="5" t="n">
        <v>3</v>
      </c>
      <c r="B7" s="5" t="s">
        <v>403</v>
      </c>
      <c r="C7" s="5" t="s">
        <v>404</v>
      </c>
      <c r="D7" s="5" t="s">
        <v>405</v>
      </c>
      <c r="E7" s="6" t="s">
        <v>406</v>
      </c>
      <c r="F7" s="5" t="s">
        <v>407</v>
      </c>
    </row>
    <row r="8" customFormat="false" ht="45.75" hidden="false" customHeight="true" outlineLevel="0" collapsed="false">
      <c r="A8" s="5" t="n">
        <v>4</v>
      </c>
      <c r="B8" s="5" t="s">
        <v>408</v>
      </c>
      <c r="C8" s="5" t="s">
        <v>404</v>
      </c>
      <c r="D8" s="5" t="s">
        <v>409</v>
      </c>
      <c r="E8" s="6" t="s">
        <v>410</v>
      </c>
      <c r="F8" s="5" t="s">
        <v>411</v>
      </c>
    </row>
    <row r="9" customFormat="false" ht="45.75" hidden="false" customHeight="true" outlineLevel="0" collapsed="false">
      <c r="A9" s="5" t="n">
        <v>5</v>
      </c>
      <c r="B9" s="5" t="s">
        <v>412</v>
      </c>
      <c r="C9" s="5" t="s">
        <v>413</v>
      </c>
      <c r="D9" s="5" t="s">
        <v>414</v>
      </c>
      <c r="E9" s="6" t="s">
        <v>410</v>
      </c>
      <c r="F9" s="5" t="s">
        <v>415</v>
      </c>
    </row>
    <row r="10" customFormat="false" ht="45.75" hidden="false" customHeight="true" outlineLevel="0" collapsed="false">
      <c r="A10" s="5" t="n">
        <v>6</v>
      </c>
      <c r="B10" s="5" t="s">
        <v>416</v>
      </c>
      <c r="C10" s="5" t="s">
        <v>417</v>
      </c>
      <c r="D10" s="5" t="s">
        <v>418</v>
      </c>
      <c r="E10" s="6" t="s">
        <v>410</v>
      </c>
      <c r="F10" s="5" t="s">
        <v>419</v>
      </c>
    </row>
    <row r="11" customFormat="false" ht="45.75" hidden="false" customHeight="true" outlineLevel="0" collapsed="false">
      <c r="A11" s="5" t="n">
        <v>7</v>
      </c>
      <c r="B11" s="5" t="s">
        <v>420</v>
      </c>
      <c r="C11" s="5" t="s">
        <v>421</v>
      </c>
      <c r="D11" s="5" t="s">
        <v>422</v>
      </c>
      <c r="E11" s="6" t="s">
        <v>406</v>
      </c>
      <c r="F11" s="5" t="s">
        <v>423</v>
      </c>
    </row>
    <row r="12" customFormat="false" ht="45.75" hidden="false" customHeight="true" outlineLevel="0" collapsed="false">
      <c r="A12" s="5" t="n">
        <v>8</v>
      </c>
      <c r="B12" s="5" t="s">
        <v>424</v>
      </c>
      <c r="C12" s="5" t="s">
        <v>425</v>
      </c>
      <c r="D12" s="5" t="s">
        <v>426</v>
      </c>
      <c r="E12" s="6" t="s">
        <v>406</v>
      </c>
      <c r="F12" s="5" t="s">
        <v>427</v>
      </c>
    </row>
    <row r="13" customFormat="false" ht="45.75" hidden="false" customHeight="true" outlineLevel="0" collapsed="false">
      <c r="A13" s="5" t="n">
        <v>9</v>
      </c>
      <c r="B13" s="5" t="s">
        <v>428</v>
      </c>
      <c r="C13" s="5" t="s">
        <v>425</v>
      </c>
      <c r="D13" s="5" t="s">
        <v>429</v>
      </c>
      <c r="E13" s="6" t="s">
        <v>406</v>
      </c>
      <c r="F13" s="5" t="s">
        <v>430</v>
      </c>
    </row>
    <row r="14" customFormat="false" ht="45.75" hidden="false" customHeight="true" outlineLevel="0" collapsed="false">
      <c r="A14" s="5" t="n">
        <v>10</v>
      </c>
      <c r="B14" s="5" t="s">
        <v>431</v>
      </c>
      <c r="C14" s="5" t="s">
        <v>432</v>
      </c>
      <c r="D14" s="5" t="s">
        <v>433</v>
      </c>
      <c r="E14" s="6" t="s">
        <v>406</v>
      </c>
      <c r="F14" s="5" t="s">
        <v>434</v>
      </c>
    </row>
    <row r="15" customFormat="false" ht="45.75" hidden="false" customHeight="true" outlineLevel="0" collapsed="false">
      <c r="A15" s="5" t="n">
        <v>11</v>
      </c>
      <c r="B15" s="5" t="s">
        <v>435</v>
      </c>
      <c r="C15" s="5" t="s">
        <v>432</v>
      </c>
      <c r="D15" s="5" t="s">
        <v>436</v>
      </c>
      <c r="E15" s="6" t="s">
        <v>406</v>
      </c>
      <c r="F15" s="5" t="s">
        <v>437</v>
      </c>
    </row>
    <row r="16" customFormat="false" ht="45.75" hidden="false" customHeight="true" outlineLevel="0" collapsed="false">
      <c r="A16" s="5" t="n">
        <v>12</v>
      </c>
      <c r="B16" s="5" t="s">
        <v>438</v>
      </c>
      <c r="C16" s="5" t="s">
        <v>394</v>
      </c>
      <c r="D16" s="5" t="s">
        <v>439</v>
      </c>
      <c r="E16" s="6" t="s">
        <v>406</v>
      </c>
      <c r="F16" s="5" t="s">
        <v>440</v>
      </c>
    </row>
    <row r="17" customFormat="false" ht="45.75" hidden="false" customHeight="true" outlineLevel="0" collapsed="false">
      <c r="A17" s="5" t="n">
        <v>13</v>
      </c>
      <c r="B17" s="5" t="s">
        <v>441</v>
      </c>
      <c r="C17" s="5" t="s">
        <v>432</v>
      </c>
      <c r="D17" s="5" t="s">
        <v>442</v>
      </c>
      <c r="E17" s="6" t="s">
        <v>443</v>
      </c>
      <c r="F17" s="5" t="s">
        <v>444</v>
      </c>
    </row>
    <row r="18" customFormat="false" ht="45.75" hidden="false" customHeight="true" outlineLevel="0" collapsed="false">
      <c r="A18" s="5" t="n">
        <v>14</v>
      </c>
      <c r="B18" s="5" t="s">
        <v>445</v>
      </c>
      <c r="C18" s="5" t="s">
        <v>394</v>
      </c>
      <c r="D18" s="5" t="s">
        <v>446</v>
      </c>
      <c r="E18" s="6" t="s">
        <v>406</v>
      </c>
      <c r="F18" s="5" t="s">
        <v>447</v>
      </c>
    </row>
    <row r="19" customFormat="false" ht="45.75" hidden="false" customHeight="true" outlineLevel="0" collapsed="false">
      <c r="A19" s="5" t="n">
        <v>15</v>
      </c>
      <c r="B19" s="5" t="s">
        <v>448</v>
      </c>
      <c r="C19" s="5" t="s">
        <v>432</v>
      </c>
      <c r="D19" s="5" t="s">
        <v>449</v>
      </c>
      <c r="E19" s="6" t="s">
        <v>406</v>
      </c>
      <c r="F19" s="5" t="s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2026-08-20T20:38:35Z</dcterms:created>
  <dc:creator>openpyxl</dc:creator>
  <dc:description/>
  <dc:language>en-US</dc:language>
  <cp:lastModifiedBy/>
  <dcterms:modified xsi:type="dcterms:W3CDTF">2026-08-20T20:38:35Z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